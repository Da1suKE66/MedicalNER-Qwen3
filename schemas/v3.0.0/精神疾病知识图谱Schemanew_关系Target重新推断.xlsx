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9ad5d439f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表new" sheetId="1" r:id="R1abc05623d9f431a"/>
    <x:sheet xmlns:r="http://schemas.openxmlformats.org/officeDocument/2006/relationships" name="关系表new" sheetId="2" r:id="R681be289dfc142ed"/>
    <x:sheet xmlns:r="http://schemas.openxmlformats.org/officeDocument/2006/relationships" name="推断说明" sheetId="3" r:id="R83e5b081e9524501"/>
  </x:sheets>
</x:workbook>
</file>

<file path=xl/sharedStrings.xml><?xml version="1.0" encoding="utf-8"?>
<x:sst xmlns:x="http://schemas.openxmlformats.org/spreadsheetml/2006/main">
  <x:si>
    <x:t xml:space="preserve">Label</x:t>
  </x:si>
  <x:si>
    <x:t xml:space="preserve">Node</x:t>
  </x:si>
  <x:si>
    <x:t xml:space="preserve">Core Properties（核心属性）</x:t>
  </x:si>
  <x:si>
    <x:t xml:space="preserve">说明</x:t>
  </x:si>
  <x:si>
    <x:t xml:space="preserve">Disease</x:t>
  </x:si>
  <x:si>
    <x:t xml:space="preserve">疾病</x:t>
  </x:si>
  <x:si>
    <x:t xml:space="preserve">ICD-11 Code、DSM-5 Mapping、Definition、Subtype、Specifier、Severity、Course、Epidemiology、Prognosis、Parent Disease</x:t>
  </x:si>
  <x:si>
    <x:t xml:space="preserve">疾病主体</x:t>
  </x:si>
  <x:si>
    <x:t xml:space="preserve">Symptom</x:t>
  </x:si>
  <x:si>
    <x:t xml:space="preserve">症状</x:t>
  </x:si>
  <x:si>
    <x:t xml:space="preserve">Name、Description、Category、Parent Symptom、Severity、Duration、Frequency、Sensitivity、Specificity</x:t>
  </x:si>
  <x:si>
    <x:t xml:space="preserve">所有症状统一建模</x:t>
  </x:si>
  <x:si>
    <x:t xml:space="preserve">Diagnostic Criterion</x:t>
  </x:si>
  <x:si>
    <x:t xml:space="preserve">诊断标准</x:t>
  </x:si>
  <x:si>
    <x:t xml:space="preserve">Source、Criterion ID、Description、Required、Logic、Threshold</x:t>
  </x:si>
  <x:si>
    <x:t xml:space="preserve">DSM/ICD诊断标准</x:t>
  </x:si>
  <x:si>
    <x:t xml:space="preserve">Assessment</x:t>
  </x:si>
  <x:si>
    <x:t xml:space="preserve">临床评估</x:t>
  </x:si>
  <x:si>
    <x:t xml:space="preserve">Assessment Type、Question、Trigger、Follow-up Question、Purpose</x:t>
  </x:si>
  <x:si>
    <x:t xml:space="preserve">问诊及精神检查</x:t>
  </x:si>
  <x:si>
    <x:t xml:space="preserve">Patient</x:t>
  </x:si>
  <x:si>
    <x:t xml:space="preserve">患者信息</x:t>
  </x:si>
  <x:si>
    <x:t xml:space="preserve">Age、Sex、Occupation、Education、Marriage、Family History、Psychiatric History、Trauma、Substance Use、Special Population</x:t>
  </x:si>
  <x:si>
    <x:t xml:space="preserve">患者背景</x:t>
  </x:si>
  <x:si>
    <x:t xml:space="preserve">Medication</x:t>
  </x:si>
  <x:si>
    <x:t xml:space="preserve">药物</x:t>
  </x:si>
  <x:si>
    <x:t xml:space="preserve">Generic Name、ATC Code、Mechanism、Dose、Indication、Contraindication、Side Effects、Drug Interaction、Metabolism、Pregnancy、Lactation</x:t>
  </x:si>
  <x:si>
    <x:t xml:space="preserve">Treatment</x:t>
  </x:si>
  <x:si>
    <x:t xml:space="preserve">非药物治疗</x:t>
  </x:si>
  <x:si>
    <x:t xml:space="preserve">Treatment Type、Description、Mechanism、Indication、Contraindication、Duration、Frequency、Evidence Level</x:t>
  </x:si>
  <x:si>
    <x:t xml:space="preserve">心理治疗等</x:t>
  </x:si>
  <x:si>
    <x:t xml:space="preserve">Treatment Plan</x:t>
  </x:si>
  <x:si>
    <x:t xml:space="preserve">治疗方案</x:t>
  </x:si>
  <x:si>
    <x:t xml:space="preserve">Plan Name、Applicable Disease、Disease Stage、Severity、Target Population、Recommendation Level、Description</x:t>
  </x:si>
  <x:si>
    <x:t xml:space="preserve">综合治疗策略</x:t>
  </x:si>
  <x:si>
    <x:t xml:space="preserve">Examination</x:t>
  </x:si>
  <x:si>
    <x:t xml:space="preserve">检查</x:t>
  </x:si>
  <x:si>
    <x:t xml:space="preserve">Test Type、Description、Purpose、Interpretation</x:t>
  </x:si>
  <x:si>
    <x:t xml:space="preserve">MRI、EEG等</x:t>
  </x:si>
  <x:si>
    <x:t xml:space="preserve">Assessment Scale</x:t>
  </x:si>
  <x:si>
    <x:t xml:space="preserve">量表</x:t>
  </x:si>
  <x:si>
    <x:t xml:space="preserve">Scale Name、Cutoff、Score Range、Interpretation、Target Disease</x:t>
  </x:si>
  <x:si>
    <x:t xml:space="preserve">PHQ-9等</x:t>
  </x:si>
  <x:si>
    <x:t xml:space="preserve">Etiology</x:t>
  </x:si>
  <x:si>
    <x:t xml:space="preserve">病因</x:t>
  </x:si>
  <x:si>
    <x:t xml:space="preserve">Etiology Type、Description、Evidence</x:t>
  </x:si>
  <x:si>
    <x:t xml:space="preserve">遗传、感染等</x:t>
  </x:si>
  <x:si>
    <x:t xml:space="preserve">Risk</x:t>
  </x:si>
  <x:si>
    <x:t xml:space="preserve">风险</x:t>
  </x:si>
  <x:si>
    <x:t xml:space="preserve">Risk Type、Risk Level、Description、Evidence Level</x:t>
  </x:si>
  <x:si>
    <x:t xml:space="preserve">自杀等</x:t>
  </x:si>
  <x:si>
    <x:t xml:space="preserve">Communication Strategy</x:t>
  </x:si>
  <x:si>
    <x:t xml:space="preserve">沟通策略</x:t>
  </x:si>
  <x:si>
    <x:t xml:space="preserve">Strategy、Scenario、Target Population、Contraindication</x:t>
  </x:si>
  <x:si>
    <x:t xml:space="preserve">医患沟通</x:t>
  </x:si>
  <x:si>
    <x:t xml:space="preserve">Guideline</x:t>
  </x:si>
  <x:si>
    <x:t xml:space="preserve">临床指南</x:t>
  </x:si>
  <x:si>
    <x:t xml:space="preserve">Guideline Name、Organization、Version、Publication Year</x:t>
  </x:si>
  <x:si>
    <x:t xml:space="preserve">APA、NICE等</x:t>
  </x:si>
  <x:si>
    <x:t xml:space="preserve">Evidence</x:t>
  </x:si>
  <x:si>
    <x:t xml:space="preserve">文献证据</x:t>
  </x:si>
  <x:si>
    <x:t xml:space="preserve">PMID、DOI、Study Type、Journal、GRADE、Publication Year</x:t>
  </x:si>
  <x:si>
    <x:t xml:space="preserve">RCT等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</x:si>
</x:sst>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4"/>
      <x:color rgb="FFFFFFFF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50">
    <x:xf numFmtId="0" fontId="0" fillId="0" borderId="0" xfId="0"/>
    <x:xf numFmtId="0" fontId="0" fillId="0" borderId="0" xfId="0" applyAlignment="1">
      <x:alignment horizontal="left" vertical="top"/>
    </x:xf>
    <x:xf numFmtId="49" fontId="0" fillId="0" borderId="0" xfId="0" applyNumberFormat="1" applyAlignment="1">
      <x:alignment horizontal="left" vertical="top" wrapText="1"/>
    </x:xf>
    <x:xf numFmtId="0" fontId="0" fillId="0" borderId="0" xfId="0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left" vertical="top"/>
    </x:xf>
    <x:xf numFmtId="49" fontId="0" fillId="0" borderId="9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2" fillId="33" borderId="0" xfId="0" applyNumberFormat="1" applyFont="1" applyFill="1" applyBorder="1"/>
    <x:xf numFmtId="0" fontId="12" fillId="33" borderId="0" xfId="0" applyNumberFormat="1" applyFont="1" applyFill="1" applyBorder="1" applyAlignment="1">
      <x:alignment horizontal="center"/>
    </x:xf>
    <x:xf numFmtId="0" fontId="12" fillId="33" borderId="0" xfId="0" applyNumberFormat="1" applyFont="1" applyFill="1" applyBorder="1" applyAlignment="1">
      <x:alignment horizontal="center" vertical="center"/>
    </x:xf>
    <x:xf numFmtId="0" fontId="0" fillId="33" borderId="9" xfId="0" applyNumberFormat="1" applyFont="1" applyFill="1" applyBorder="1"/>
    <x:xf numFmtId="0" fontId="12" fillId="33" borderId="9" xfId="0" applyNumberFormat="1" applyFont="1" applyFill="1" applyBorder="1"/>
    <x:xf numFmtId="0" fontId="12" fillId="33" borderId="9" xfId="0" applyNumberFormat="1" applyFont="1" applyFill="1" applyBorder="1" applyAlignment="1">
      <x:alignment horizontal="center"/>
    </x:xf>
    <x:xf numFmtId="0" fontId="12" fillId="33" borderId="9" xfId="0" applyNumberFormat="1" applyFont="1" applyFill="1" applyBorder="1" applyAlignment="1">
      <x:alignment horizontal="center" vertical="center"/>
    </x:xf>
    <x:xf numFmtId="0" fontId="12" fillId="3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33" borderId="9" xfId="0" applyNumberFormat="1" applyFont="1" applyFill="1" applyBorder="1" applyAlignment="1">
      <x:alignment horizontal="center" vertical="center" wrapText="1"/>
    </x:xf>
    <x:xf numFmtId="0" fontId="12" fillId="3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2" fillId="33" borderId="9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49" fontId="0" fillId="0" borderId="0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horizontal="left" vertical="top" wrapText="1"/>
    </x:xf>
    <x:xf numFmtId="0" fontId="0" fillId="33" borderId="0" xfId="0" applyNumberFormat="1" applyFont="1" applyFill="1" applyBorder="1" applyAlignment="1">
      <x:alignment wrapText="1"/>
    </x:xf>
    <x:xf numFmtId="0" fontId="12" fillId="33" borderId="0" xfId="0" applyNumberFormat="1" applyFont="1" applyFill="1" applyBorder="1" applyAlignment="1">
      <x:alignment wrapText="1"/>
    </x:xf>
    <x:xf numFmtId="0" fontId="12" fillId="33" borderId="0" xfId="0" applyNumberFormat="1" applyFont="1" applyFill="1" applyBorder="1" applyAlignment="1">
      <x:alignment horizontal="center" wrapText="1"/>
    </x:xf>
    <x:xf numFmtId="0" fontId="0" fillId="33" borderId="9" xfId="0" applyNumberFormat="1" applyFont="1" applyFill="1" applyBorder="1" applyAlignment="1">
      <x:alignment wrapText="1"/>
    </x:xf>
    <x:xf numFmtId="0" fontId="12" fillId="33" borderId="9" xfId="0" applyNumberFormat="1" applyFont="1" applyFill="1" applyBorder="1" applyAlignment="1">
      <x:alignment wrapText="1"/>
    </x:xf>
    <x:xf numFmtId="0" fontId="12" fillId="33" borderId="9" xfId="0" applyNumberFormat="1" applyFont="1" applyFill="1" applyBorder="1" applyAlignment="1">
      <x:alignment horizontal="center" wrapText="1"/>
    </x:xf>
    <x:xf numFmtId="0" fontId="20" fillId="33" borderId="0" xfId="0" applyNumberFormat="1" applyFont="1" applyFill="1" applyBorder="1"/>
    <x:xf numFmtId="0" fontId="20" fillId="33" borderId="0" xfId="0" applyNumberFormat="1" applyFont="1" applyFill="1" applyBorder="1" applyAlignment="1">
      <x:alignment horizontal="center"/>
    </x:xf>
    <x:xf numFmtId="0" fontId="20" fillId="33" borderId="0" xfId="0" applyNumberFormat="1" applyFont="1" applyFill="1" applyBorder="1" applyAlignment="1">
      <x:alignment horizontal="center" vertical="center"/>
    </x:xf>
    <x:xf numFmtId="0" fontId="20" fillId="33" borderId="9" xfId="0" applyNumberFormat="1" applyFont="1" applyFill="1" applyBorder="1"/>
    <x:xf numFmtId="0" fontId="20" fillId="33" borderId="9" xfId="0" applyNumberFormat="1" applyFont="1" applyFill="1" applyBorder="1" applyAlignment="1">
      <x:alignment horizontal="center"/>
    </x:xf>
    <x:xf numFmtId="0" fontId="20" fillId="33" borderId="9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0" fillId="34" borderId="9" xfId="0" applyNumberFormat="1" applyFont="1" applyFill="1" applyBorder="1"/>
    <x:xf numFmtId="0" fontId="14" fillId="34" borderId="9" xfId="0" applyNumberFormat="1" applyFont="1" applyFill="1" applyBorder="1"/>
    <x:xf numFmtId="0" fontId="14" fillId="34" borderId="0" xfId="0" applyNumberFormat="1" applyFont="1" applyFill="1" applyBorder="1" applyAlignment="1">
      <x:alignment wrapText="1"/>
    </x:xf>
    <x:xf numFmtId="0" fontId="14" fillId="34" borderId="9" xfId="0" applyNumberFormat="1" applyFont="1" applyFill="1" applyBorder="1" applyAlignment="1">
      <x:alignment wrapText="1"/>
    </x:xf>
    <x:xf numFmtId="0" fontId="20" fillId="3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4" fillId="34" borderId="0" xfId="0" applyNumberFormat="1" applyFont="1" applyFill="1" applyBorder="1" applyAlignment="1">
      <x:alignment vertical="top" wrapText="1"/>
    </x:xf>
    <x:xf numFmtId="0" fontId="12" fillId="33" borderId="0" xfId="0" applyNumberFormat="1" applyFont="1" applyFill="1" applyBorder="1" applyAlignment="1">
      <x:alignment horizontal="center" vertical="top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abea1a39f417b" /><Relationship Type="http://schemas.openxmlformats.org/officeDocument/2006/relationships/theme" Target="/xl/theme/theme1.xml" Id="R3846c234906b4c46" /><Relationship Type="http://schemas.openxmlformats.org/officeDocument/2006/relationships/sharedStrings" Target="/xl/sharedStrings.xml" Id="R5152de3d5c264a22" /><Relationship Type="http://schemas.openxmlformats.org/officeDocument/2006/relationships/worksheet" Target="/xl/worksheets/sheet1.xml" Id="R1abc05623d9f431a" /><Relationship Type="http://schemas.openxmlformats.org/officeDocument/2006/relationships/worksheet" Target="/xl/worksheets/sheet2.xml" Id="R681be289dfc142ed" /><Relationship Type="http://schemas.openxmlformats.org/officeDocument/2006/relationships/worksheet" Target="/xl/worksheets/sheet3.xml" Id="R83e5b081e9524501" /></Relationships>
</file>

<file path=xl/tables/table1.xml><?xml version="1.0" encoding="utf-8"?>
<x:table xmlns:x="http://schemas.openxmlformats.org/spreadsheetml/2006/main" id="1" name="RelationInferenceTable" displayName="RelationInferenceTable" ref="A1:J83" headerRowCount="1" totalsRowCount="0" totalsRowShown="0">
  <x:tableColumns count="10">
    <x:tableColumn id="1" name="模块"/>
    <x:tableColumn id="2" name="Relation"/>
    <x:tableColumn id="3" name="中文"/>
    <x:tableColumn id="4" name="Target（最终推断）"/>
    <x:tableColumn id="5" name="置信度"/>
    <x:tableColumn id="6" name="建议状态"/>
    <x:tableColumn id="7" name="旧版Schema依据"/>
    <x:tableColumn id="8" name="推断/Schema备注"/>
    <x:tableColumn id="9" name="Source修正建议"/>
    <x:tableColumn id="10" name="Relation重命名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a672d5a981427b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26" hidden="0" customWidth="1"/>
    <x:col min="2" max="2" width="18" hidden="0" customWidth="1"/>
    <x:col min="3" max="3" width="70" hidden="0" customWidth="1"/>
    <x:col min="4" max="4" width="28" hidden="0" customWidth="1"/>
  </x:cols>
  <x:sheetData>
    <x:row r="1">
      <x:c r="A1" s="16" t="s">
        <x:v>0</x:v>
      </x:c>
      <x:c r="B1" s="16" t="s">
        <x:v>1</x:v>
      </x:c>
      <x:c r="C1" s="16" t="s">
        <x:v>2</x:v>
      </x:c>
      <x:c r="D1" s="16" t="s">
        <x:v>3</x:v>
      </x:c>
    </x:row>
    <x:row r="2" ht="39.599998474121094" hidden="0" customHeight="1">
      <x:c r="A2" s="25" t="s">
        <x:v>4</x:v>
      </x:c>
      <x:c r="B2" s="25" t="s">
        <x:v>5</x:v>
      </x:c>
      <x:c r="C2" s="26" t="s">
        <x:v>6</x:v>
      </x:c>
      <x:c r="D2" s="17" t="s">
        <x:v>7</x:v>
      </x:c>
    </x:row>
    <x:row r="3" ht="26.399999618530273" hidden="0" customHeight="1">
      <x:c r="A3" s="17" t="s">
        <x:v>8</x:v>
      </x:c>
      <x:c r="B3" s="17" t="s">
        <x:v>9</x:v>
      </x:c>
      <x:c r="C3" s="17" t="s">
        <x:v>10</x:v>
      </x:c>
      <x:c r="D3" s="17" t="s">
        <x:v>11</x:v>
      </x:c>
    </x:row>
    <x:row r="4" ht="13.5" hidden="0" customHeight="1">
      <x:c r="A4" s="17" t="s">
        <x:v>12</x:v>
      </x:c>
      <x:c r="B4" s="17" t="s">
        <x:v>13</x:v>
      </x:c>
      <x:c r="C4" s="17" t="s">
        <x:v>14</x:v>
      </x:c>
      <x:c r="D4" s="17" t="s">
        <x:v>15</x:v>
      </x:c>
    </x:row>
    <x:row r="5" ht="13.5" hidden="0" customHeight="1">
      <x:c r="A5" s="17" t="s">
        <x:v>16</x:v>
      </x:c>
      <x:c r="B5" s="17" t="s">
        <x:v>17</x:v>
      </x:c>
      <x:c r="C5" s="17" t="s">
        <x:v>18</x:v>
      </x:c>
      <x:c r="D5" s="17" t="s">
        <x:v>19</x:v>
      </x:c>
    </x:row>
    <x:row r="6" ht="26.399999618530273" hidden="0" customHeight="1">
      <x:c r="A6" s="17" t="s">
        <x:v>20</x:v>
      </x:c>
      <x:c r="B6" s="17" t="s">
        <x:v>21</x:v>
      </x:c>
      <x:c r="C6" s="17" t="s">
        <x:v>22</x:v>
      </x:c>
      <x:c r="D6" s="17" t="s">
        <x:v>23</x:v>
      </x:c>
    </x:row>
    <x:row r="7" ht="26.399999618530273" hidden="0" customHeight="1">
      <x:c r="A7" s="17" t="s">
        <x:v>24</x:v>
      </x:c>
      <x:c r="B7" s="17" t="s">
        <x:v>25</x:v>
      </x:c>
      <x:c r="C7" s="17" t="s">
        <x:v>26</x:v>
      </x:c>
      <x:c r="D7" s="17" t="s">
        <x:v>25</x:v>
      </x:c>
    </x:row>
    <x:row r="8" ht="39.599998474121094" hidden="0" customHeight="1">
      <x:c r="A8" s="17" t="s">
        <x:v>27</x:v>
      </x:c>
      <x:c r="B8" s="17" t="s">
        <x:v>28</x:v>
      </x:c>
      <x:c r="C8" s="17" t="s">
        <x:v>29</x:v>
      </x:c>
      <x:c r="D8" s="17" t="s">
        <x:v>30</x:v>
      </x:c>
    </x:row>
    <x:row r="9" ht="26.399999618530273" hidden="0" customHeight="1">
      <x:c r="A9" s="17" t="s">
        <x:v>31</x:v>
      </x:c>
      <x:c r="B9" s="17" t="s">
        <x:v>32</x:v>
      </x:c>
      <x:c r="C9" s="17" t="s">
        <x:v>33</x:v>
      </x:c>
      <x:c r="D9" s="17" t="s">
        <x:v>34</x:v>
      </x:c>
    </x:row>
    <x:row r="10" ht="13.5" hidden="0" customHeight="1">
      <x:c r="A10" s="17" t="s">
        <x:v>35</x:v>
      </x:c>
      <x:c r="B10" s="17" t="s">
        <x:v>36</x:v>
      </x:c>
      <x:c r="C10" s="17" t="s">
        <x:v>37</x:v>
      </x:c>
      <x:c r="D10" s="17" t="s">
        <x:v>38</x:v>
      </x:c>
    </x:row>
    <x:row r="11" ht="13.5" hidden="0" customHeight="1">
      <x:c r="A11" s="17" t="s">
        <x:v>39</x:v>
      </x:c>
      <x:c r="B11" s="17" t="s">
        <x:v>40</x:v>
      </x:c>
      <x:c r="C11" s="17" t="s">
        <x:v>41</x:v>
      </x:c>
      <x:c r="D11" s="17" t="s">
        <x:v>42</x:v>
      </x:c>
    </x:row>
    <x:row r="12" ht="13.5" hidden="0" customHeight="1">
      <x:c r="A12" s="17" t="s">
        <x:v>43</x:v>
      </x:c>
      <x:c r="B12" s="17" t="s">
        <x:v>44</x:v>
      </x:c>
      <x:c r="C12" s="17" t="s">
        <x:v>45</x:v>
      </x:c>
      <x:c r="D12" s="17" t="s">
        <x:v>46</x:v>
      </x:c>
    </x:row>
    <x:row r="13" ht="13.5" hidden="0" customHeight="1">
      <x:c r="A13" s="17" t="s">
        <x:v>47</x:v>
      </x:c>
      <x:c r="B13" s="17" t="s">
        <x:v>48</x:v>
      </x:c>
      <x:c r="C13" s="17" t="s">
        <x:v>49</x:v>
      </x:c>
      <x:c r="D13" s="17" t="s">
        <x:v>50</x:v>
      </x:c>
    </x:row>
    <x:row r="14" ht="13.5" hidden="0" customHeight="1">
      <x:c r="A14" s="17" t="s">
        <x:v>51</x:v>
      </x:c>
      <x:c r="B14" s="17" t="s">
        <x:v>52</x:v>
      </x:c>
      <x:c r="C14" s="17" t="s">
        <x:v>53</x:v>
      </x:c>
      <x:c r="D14" s="17" t="s">
        <x:v>54</x:v>
      </x:c>
    </x:row>
    <x:row r="15" ht="13.5" hidden="0" customHeight="1">
      <x:c r="A15" s="17" t="s">
        <x:v>55</x:v>
      </x:c>
      <x:c r="B15" s="17" t="s">
        <x:v>56</x:v>
      </x:c>
      <x:c r="C15" s="17" t="s">
        <x:v>57</x:v>
      </x:c>
      <x:c r="D15" s="17" t="s">
        <x:v>58</x:v>
      </x:c>
    </x:row>
    <x:row r="16" ht="13.5" hidden="0" customHeight="1">
      <x:c r="A16" s="17" t="s">
        <x:v>59</x:v>
      </x:c>
      <x:c r="B16" s="17" t="s">
        <x:v>60</x:v>
      </x:c>
      <x:c r="C16" s="17" t="s">
        <x:v>61</x:v>
      </x:c>
      <x:c r="D16" s="17" t="s">
        <x:v>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2" max="2" width="36" hidden="0" customWidth="1"/>
    <x:col min="1" max="1" width="23" hidden="0" customWidth="1"/>
    <x:col min="3" max="3" width="20" hidden="0" customWidth="1"/>
    <x:col min="4" max="4" width="42" hidden="0" customWidth="1"/>
    <x:col min="5" max="5" width="10" hidden="0" customWidth="1"/>
    <x:col min="6" max="6" width="24" hidden="0" customWidth="1"/>
    <x:col min="7" max="7" width="50" hidden="0" customWidth="1"/>
    <x:col min="8" max="8" width="64" hidden="0" customWidth="1"/>
    <x:col min="9" max="9" width="24" hidden="0" customWidth="1"/>
    <x:col min="10" max="10" width="36" hidden="0" customWidth="1"/>
  </x:cols>
  <x:sheetData>
    <x:row r="1" ht="28" customHeight="1">
      <x:c r="A1" s="19" t="str">
        <x:v>模块</x:v>
      </x:c>
      <x:c r="B1" s="19" t="str">
        <x:v>Relation</x:v>
      </x:c>
      <x:c r="C1" s="19" t="str">
        <x:v>中文</x:v>
      </x:c>
      <x:c r="D1" s="19" t="str">
        <x:v>Target（最终推断）</x:v>
      </x:c>
      <x:c r="E1" s="19" t="str">
        <x:v>置信度</x:v>
      </x:c>
      <x:c r="F1" s="19" t="str">
        <x:v>建议状态</x:v>
      </x:c>
      <x:c r="G1" s="19" t="str">
        <x:v>旧版Schema依据</x:v>
      </x:c>
      <x:c r="H1" s="19" t="str">
        <x:v>推断/Schema备注</x:v>
      </x:c>
      <x:c r="I1" s="19" t="str">
        <x:v>Source修正建议</x:v>
      </x:c>
      <x:c r="J1" s="19" t="str">
        <x:v>Relation重命名建议</x:v>
      </x:c>
    </x:row>
    <x:row r="2" ht="26.399999618530273" hidden="0" customHeight="1">
      <x:c r="A2" s="23" t="str">
        <x:v>Disease</x:v>
      </x:c>
      <x:c r="B2" s="20" t="str">
        <x:v>belongs_to</x:v>
      </x:c>
      <x:c r="C2" s="20" t="str">
        <x:v>属于疾病分类</x:v>
      </x:c>
      <x:c r="D2" s="20" t="str">
        <x:v>["Disease"]</x:v>
      </x:c>
      <x:c r="E2" s="23" t="str">
        <x:v>高</x:v>
      </x:c>
      <x:c r="F2" s="23" t="str">
        <x:v>需复核</x:v>
      </x:c>
      <x:c r="G2" s="20" t="str">
        <x:v>旧版未定义该 relation</x:v>
      </x:c>
      <x:c r="H2" s="20" t="str">
        <x:v>疾病分类/父类仍属于 Disease；但与 subtype_of 语义高度重叠，建议最终只保留一个层级关系。</x:v>
      </x:c>
      <x:c r="I2" s="23"/>
      <x:c r="J2" s="20"/>
    </x:row>
    <x:row r="3" ht="13.5" hidden="0" customHeight="1">
      <x:c r="A3" s="23" t="str">
        <x:v>Disease</x:v>
      </x:c>
      <x:c r="B3" s="20" t="str">
        <x:v>subtype_of</x:v>
      </x:c>
      <x:c r="C3" s="20" t="str">
        <x:v>亚型</x:v>
      </x:c>
      <x:c r="D3" s="20" t="str">
        <x:v>["Disease"]</x:v>
      </x:c>
      <x:c r="E3" s="23" t="str">
        <x:v>高</x:v>
      </x:c>
      <x:c r="F3" s="23" t="str">
        <x:v>可加入</x:v>
      </x:c>
      <x:c r="G3" s="20" t="str">
        <x:v>旧版未定义该 relation</x:v>
      </x:c>
      <x:c r="H3" s="20" t="str">
        <x:v>标准疾病层级关系。</x:v>
      </x:c>
      <x:c r="I3" s="23"/>
      <x:c r="J3" s="20"/>
    </x:row>
    <x:row r="4" ht="26.399999618530273" hidden="0" customHeight="1">
      <x:c r="A4" s="23" t="str">
        <x:v>Disease</x:v>
      </x:c>
      <x:c r="B4" s="20" t="str">
        <x:v>has_specifier</x:v>
      </x:c>
      <x:c r="C4" s="20" t="str">
        <x:v>Specifier</x:v>
      </x:c>
      <x:c r="D4" s="20" t="str">
        <x:v>—</x:v>
      </x:c>
      <x:c r="E4" s="23" t="str">
        <x:v>高</x:v>
      </x:c>
      <x:c r="F4" s="23" t="str">
        <x:v>建议改为属性/不建边</x:v>
      </x:c>
      <x:c r="G4" s="20" t="str">
        <x:v>旧版未定义该 relation</x:v>
      </x:c>
      <x:c r="H4" s="20" t="str">
        <x:v>新版节点表已将 Specifier 作为 Disease.Core Properties；当前无独立 Specifier 节点。</x:v>
      </x:c>
      <x:c r="I4" s="23"/>
      <x:c r="J4" s="20"/>
    </x:row>
    <x:row r="5" ht="13.5" hidden="0" customHeight="1">
      <x:c r="A5" s="23" t="str">
        <x:v>Disease</x:v>
      </x:c>
      <x:c r="B5" s="20" t="str">
        <x:v>differentiates_from</x:v>
      </x:c>
      <x:c r="C5" s="20" t="str">
        <x:v>鉴别诊断</x:v>
      </x:c>
      <x:c r="D5" s="20" t="str">
        <x:v>["Disease"]</x:v>
      </x:c>
      <x:c r="E5" s="23" t="str">
        <x:v>高</x:v>
      </x:c>
      <x:c r="F5" s="23" t="str">
        <x:v>可加入</x:v>
      </x:c>
      <x:c r="G5" s="20" t="str">
        <x:v>旧版 active: source=['Disease']; target=['Disease']</x:v>
      </x:c>
      <x:c r="H5" s="20" t="str">
        <x:v>疾病与疾病之间的鉴别诊断关系；旧版同名关系已明确为 Disease→Disease。</x:v>
      </x:c>
      <x:c r="I5" s="23"/>
      <x:c r="J5" s="20"/>
    </x:row>
    <x:row r="6" ht="26.399999618530273" hidden="0" customHeight="1">
      <x:c r="A6" s="23" t="str">
        <x:v>Diagnostic Criterion</x:v>
      </x:c>
      <x:c r="B6" s="20" t="str">
        <x:v>co_occurs_with</x:v>
      </x:c>
      <x:c r="C6" s="20" t="str">
        <x:v>共病</x:v>
      </x:c>
      <x:c r="D6" s="20" t="str">
        <x:v>["Disease"]</x:v>
      </x:c>
      <x:c r="E6" s="23" t="str">
        <x:v>高</x:v>
      </x:c>
      <x:c r="F6" s="23" t="str">
        <x:v>需修正 Source 后加入</x:v>
      </x:c>
      <x:c r="G6" s="20" t="str">
        <x:v>旧版对应关系 co_occurs_with_frequency (active): source=['Disease']; target=['Disease']</x:v>
      </x:c>
      <x:c r="H6" s="20" t="str">
        <x:v>“共病”语义应为 Disease→Disease；旧版 co_occurs_with_frequency 明确为 Disease→Disease，因此当前 Source 很可能误填。</x:v>
      </x:c>
      <x:c r="I6" s="23" t="str">
        <x:v>Disease</x:v>
      </x:c>
      <x:c r="J6" s="20"/>
    </x:row>
    <x:row r="7" ht="26.399999618530273" hidden="0" customHeight="1">
      <x:c r="A7" s="23" t="str">
        <x:v>Disease</x:v>
      </x:c>
      <x:c r="B7" s="20" t="str">
        <x:v>predisposes_to</x:v>
      </x:c>
      <x:c r="C7" s="20" t="str">
        <x:v>增加...的易感性</x:v>
      </x:c>
      <x:c r="D7" s="20" t="str">
        <x:v>["Disease"]</x:v>
      </x:c>
      <x:c r="E7" s="23" t="str">
        <x:v>中</x:v>
      </x:c>
      <x:c r="F7" s="23" t="str">
        <x:v>需复核</x:v>
      </x:c>
      <x:c r="G7" s="20" t="str">
        <x:v>旧版未定义该 relation</x:v>
      </x:c>
      <x:c r="H7" s="20" t="str">
        <x:v>按当前节点集合可解释为某疾病增加另一疾病易感性；若实际语料表达危险因素，更适合 Etiology/Risk→Disease。</x:v>
      </x:c>
      <x:c r="I7" s="23"/>
      <x:c r="J7" s="20"/>
    </x:row>
    <x:row r="8" ht="26.399999618530273" hidden="0" customHeight="1">
      <x:c r="A8" s="23" t="str">
        <x:v>Disease</x:v>
      </x:c>
      <x:c r="B8" s="20" t="str">
        <x:v>causes</x:v>
      </x:c>
      <x:c r="C8" s="20" t="str">
        <x:v>导致</x:v>
      </x:c>
      <x:c r="D8" s="20" t="str">
        <x:v>["Disease"]</x:v>
      </x:c>
      <x:c r="E8" s="23" t="str">
        <x:v>中</x:v>
      </x:c>
      <x:c r="F8" s="23" t="str">
        <x:v>需复核</x:v>
      </x:c>
      <x:c r="G8" s="20" t="str">
        <x:v>旧版未定义该 relation</x:v>
      </x:c>
      <x:c r="H8" s="20" t="str">
        <x:v>按当前 Source 最自然为 Disease→Disease，但“导致”过宽；症状表现、病因导致疾病已有更专门关系。</x:v>
      </x:c>
      <x:c r="I8" s="23"/>
      <x:c r="J8" s="20"/>
    </x:row>
    <x:row r="9" ht="13.5" hidden="0" customHeight="1">
      <x:c r="A9" s="23" t="str">
        <x:v>Disease</x:v>
      </x:c>
      <x:c r="B9" s="20" t="str">
        <x:v>progresses_to</x:v>
      </x:c>
      <x:c r="C9" s="20" t="str">
        <x:v>进展为</x:v>
      </x:c>
      <x:c r="D9" s="20" t="str">
        <x:v>["Disease"]</x:v>
      </x:c>
      <x:c r="E9" s="23" t="str">
        <x:v>高</x:v>
      </x:c>
      <x:c r="F9" s="23" t="str">
        <x:v>可加入</x:v>
      </x:c>
      <x:c r="G9" s="20" t="str">
        <x:v>旧版未定义该 relation</x:v>
      </x:c>
      <x:c r="H9" s="20" t="str">
        <x:v>疾病进展到另一疾病/明确疾病状态。</x:v>
      </x:c>
      <x:c r="I9" s="23"/>
      <x:c r="J9" s="20"/>
    </x:row>
    <x:row r="10" ht="13.5" hidden="0" customHeight="1">
      <x:c r="A10" s="23" t="str">
        <x:v>Disease</x:v>
      </x:c>
      <x:c r="B10" s="20" t="str">
        <x:v>relapses_to</x:v>
      </x:c>
      <x:c r="C10" s="20" t="str">
        <x:v>复发为</x:v>
      </x:c>
      <x:c r="D10" s="20" t="str">
        <x:v>["Disease"]</x:v>
      </x:c>
      <x:c r="E10" s="23" t="str">
        <x:v>高</x:v>
      </x:c>
      <x:c r="F10" s="23" t="str">
        <x:v>可加入</x:v>
      </x:c>
      <x:c r="G10" s="20" t="str">
        <x:v>旧版未定义该 relation</x:v>
      </x:c>
      <x:c r="H10" s="20" t="str">
        <x:v>疾病复发到某疾病状态，Target 为 Disease。</x:v>
      </x:c>
      <x:c r="I10" s="23"/>
      <x:c r="J10" s="20"/>
    </x:row>
    <x:row r="11" ht="39.599998474121094" hidden="0" customHeight="1">
      <x:c r="A11" s="23" t="str">
        <x:v>Disease</x:v>
      </x:c>
      <x:c r="B11" s="20" t="str">
        <x:v>associated_with_poor_prognosis</x:v>
      </x:c>
      <x:c r="C11" s="20" t="str">
        <x:v>不良预后</x:v>
      </x:c>
      <x:c r="D11" s="20" t="str">
        <x:v>["Disease"]</x:v>
      </x:c>
      <x:c r="E11" s="23" t="str">
        <x:v>高</x:v>
      </x:c>
      <x:c r="F11" s="23" t="str">
        <x:v>可加入（建议重命名）</x:v>
      </x:c>
      <x:c r="G11" s="20" t="str">
        <x:v>旧版对应关系 associated_with_poor_prognosis_in (active): source=['Disease', 'Symptom', 'Patient Information']; target=['Disease']</x:v>
      </x:c>
      <x:c r="H11" s="20" t="str">
        <x:v>旧版 active 关系 associated_with_poor_prognosis_in 的 Target 为 Disease，语义是“某因素与某疾病的不良预后相关”；不是单纯的 Prognosis 属性。</x:v>
      </x:c>
      <x:c r="I11" s="23"/>
      <x:c r="J11" s="20" t="str">
        <x:v>associated_with_poor_prognosis_in</x:v>
      </x:c>
    </x:row>
    <x:row r="12" ht="13.5" hidden="0" customHeight="1">
      <x:c r="A12" s="23" t="str">
        <x:v>Disease</x:v>
      </x:c>
      <x:c r="B12" s="20" t="str">
        <x:v>has_diagnostic_criterion</x:v>
      </x:c>
      <x:c r="C12" s="20" t="str">
        <x:v>具有诊断标准</x:v>
      </x:c>
      <x:c r="D12" s="20" t="str">
        <x:v>["Diagnostic Criterion"]</x:v>
      </x:c>
      <x:c r="E12" s="23" t="str">
        <x:v>高</x:v>
      </x:c>
      <x:c r="F12" s="23" t="str">
        <x:v>可加入</x:v>
      </x:c>
      <x:c r="G12" s="20" t="str">
        <x:v>旧版未定义该 relation</x:v>
      </x:c>
      <x:c r="H12" s="20" t="str">
        <x:v>疾病具有诊断标准节点。</x:v>
      </x:c>
      <x:c r="I12" s="23"/>
      <x:c r="J12" s="20"/>
    </x:row>
    <x:row r="13" ht="13.5" hidden="0" customHeight="1">
      <x:c r="A13" s="23" t="str">
        <x:v>Disease</x:v>
      </x:c>
      <x:c r="B13" s="20" t="str">
        <x:v>recommended_assessment</x:v>
      </x:c>
      <x:c r="C13" s="20" t="str">
        <x:v>推荐评估</x:v>
      </x:c>
      <x:c r="D13" s="20" t="str">
        <x:v>["Assessment"]</x:v>
      </x:c>
      <x:c r="E13" s="23" t="str">
        <x:v>高</x:v>
      </x:c>
      <x:c r="F13" s="23" t="str">
        <x:v>可加入</x:v>
      </x:c>
      <x:c r="G13" s="20" t="str">
        <x:v>旧版未定义该 relation</x:v>
      </x:c>
      <x:c r="H13" s="20" t="str">
        <x:v>疾病推荐某临床评估。</x:v>
      </x:c>
      <x:c r="I13" s="23"/>
      <x:c r="J13" s="20"/>
    </x:row>
    <x:row r="14" ht="13.5" hidden="0" customHeight="1">
      <x:c r="A14" s="23" t="str">
        <x:v>Disease</x:v>
      </x:c>
      <x:c r="B14" s="20" t="str">
        <x:v>recommended_examination</x:v>
      </x:c>
      <x:c r="C14" s="20" t="str">
        <x:v>推荐检查</x:v>
      </x:c>
      <x:c r="D14" s="20" t="str">
        <x:v>["Examination"]</x:v>
      </x:c>
      <x:c r="E14" s="23" t="str">
        <x:v>高</x:v>
      </x:c>
      <x:c r="F14" s="23" t="str">
        <x:v>可加入</x:v>
      </x:c>
      <x:c r="G14" s="20" t="str">
        <x:v>旧版未定义该 relation</x:v>
      </x:c>
      <x:c r="H14" s="20" t="str">
        <x:v>疾病推荐某检查。</x:v>
      </x:c>
      <x:c r="I14" s="23"/>
      <x:c r="J14" s="20"/>
    </x:row>
    <x:row r="15" ht="13.5" hidden="0" customHeight="1">
      <x:c r="A15" s="23" t="str">
        <x:v>Disease</x:v>
      </x:c>
      <x:c r="B15" s="20" t="str">
        <x:v>recommended_treatment_plan</x:v>
      </x:c>
      <x:c r="C15" s="20" t="str">
        <x:v>推荐治疗方案</x:v>
      </x:c>
      <x:c r="D15" s="20" t="str">
        <x:v>["Treatment Plan"]</x:v>
      </x:c>
      <x:c r="E15" s="23" t="str">
        <x:v>高</x:v>
      </x:c>
      <x:c r="F15" s="23" t="str">
        <x:v>可加入</x:v>
      </x:c>
      <x:c r="G15" s="20" t="str">
        <x:v>旧版未定义该 relation</x:v>
      </x:c>
      <x:c r="H15" s="20" t="str">
        <x:v>疾病推荐综合治疗方案。</x:v>
      </x:c>
      <x:c r="I15" s="23"/>
      <x:c r="J15" s="20"/>
    </x:row>
    <x:row r="16" ht="13.5" hidden="0" customHeight="1">
      <x:c r="A16" s="23" t="str">
        <x:v>Disease</x:v>
      </x:c>
      <x:c r="B16" s="20" t="str">
        <x:v>associated_with_risk</x:v>
      </x:c>
      <x:c r="C16" s="20" t="str">
        <x:v>相关风险</x:v>
      </x:c>
      <x:c r="D16" s="20" t="str">
        <x:v>["Risk"]</x:v>
      </x:c>
      <x:c r="E16" s="23" t="str">
        <x:v>高</x:v>
      </x:c>
      <x:c r="F16" s="23" t="str">
        <x:v>可加入</x:v>
      </x:c>
      <x:c r="G16" s="20" t="str">
        <x:v>旧版未定义该 relation</x:v>
      </x:c>
      <x:c r="H16" s="20" t="str">
        <x:v>疾病与自杀、自伤等风险节点相关。</x:v>
      </x:c>
      <x:c r="I16" s="23"/>
      <x:c r="J16" s="20"/>
    </x:row>
    <x:row r="17" ht="26.399999618530273" hidden="0" customHeight="1">
      <x:c r="A17" s="23" t="str">
        <x:v>Disease</x:v>
      </x:c>
      <x:c r="B17" s="20" t="str">
        <x:v>commonly_affects</x:v>
      </x:c>
      <x:c r="C17" s="20" t="str">
        <x:v>指向特定patient节点</x:v>
      </x:c>
      <x:c r="D17" s="20" t="str">
        <x:v>["Patient"]</x:v>
      </x:c>
      <x:c r="E17" s="23" t="str">
        <x:v>中</x:v>
      </x:c>
      <x:c r="F17" s="23" t="str">
        <x:v>需复核</x:v>
      </x:c>
      <x:c r="G17" s="20" t="str">
        <x:v>旧版未定义该 relation</x:v>
      </x:c>
      <x:c r="H17" s="20" t="str">
        <x:v>中文说明指向特定 Patient 节点；若 Patient 表示具体个体而非人群类型，则 Disease→Patient 的类型级关系需谨慎。</x:v>
      </x:c>
      <x:c r="I17" s="23"/>
      <x:c r="J17" s="20"/>
    </x:row>
    <x:row r="18" ht="26.399999618530273" hidden="0" customHeight="1">
      <x:c r="A18" s="23" t="str">
        <x:v>Disease</x:v>
      </x:c>
      <x:c r="B18" s="20" t="str">
        <x:v>rules_out</x:v>
      </x:c>
      <x:c r="C18" s="20" t="str">
        <x:v>疾病排除疾病，与症状排除疾病做补充</x:v>
      </x:c>
      <x:c r="D18" s="20" t="str">
        <x:v>["Disease"]</x:v>
      </x:c>
      <x:c r="E18" s="23" t="str">
        <x:v>高</x:v>
      </x:c>
      <x:c r="F18" s="23" t="str">
        <x:v>可加入</x:v>
      </x:c>
      <x:c r="G18" s="20" t="str">
        <x:v>旧版未定义该 relation</x:v>
      </x:c>
      <x:c r="H18" s="20" t="str">
        <x:v>疾病排除/鉴别另一疾病，与 Symptom→Disease 的排除关系形成补充。</x:v>
      </x:c>
      <x:c r="I18" s="23"/>
      <x:c r="J18" s="20"/>
    </x:row>
    <x:row r="19" ht="13.5" hidden="0" customHeight="1">
      <x:c r="A19" s="23" t="str">
        <x:v>Disease</x:v>
      </x:c>
      <x:c r="B19" s="20" t="str">
        <x:v>managed_by_guideline</x:v>
      </x:c>
      <x:c r="C19" s="20" t="str">
        <x:v>指南管理</x:v>
      </x:c>
      <x:c r="D19" s="20" t="str">
        <x:v>["Guideline"]</x:v>
      </x:c>
      <x:c r="E19" s="23" t="str">
        <x:v>高</x:v>
      </x:c>
      <x:c r="F19" s="23" t="str">
        <x:v>可加入</x:v>
      </x:c>
      <x:c r="G19" s="20" t="str">
        <x:v>旧版未定义该 relation</x:v>
      </x:c>
      <x:c r="H19" s="20" t="str">
        <x:v>疾病由某临床指南覆盖/管理。</x:v>
      </x:c>
      <x:c r="I19" s="23"/>
      <x:c r="J19" s="20"/>
    </x:row>
    <x:row r="20" ht="26.399999618530273" hidden="0" customHeight="1">
      <x:c r="A20" s="23" t="str">
        <x:v>Diagnostic Criterion</x:v>
      </x:c>
      <x:c r="B20" s="20" t="str">
        <x:v>required_for</x:v>
      </x:c>
      <x:c r="C20" s="20" t="str">
        <x:v>诊断标准</x:v>
      </x:c>
      <x:c r="D20" s="20" t="str">
        <x:v>["Disease"]</x:v>
      </x:c>
      <x:c r="E20" s="23" t="str">
        <x:v>高</x:v>
      </x:c>
      <x:c r="F20" s="23" t="str">
        <x:v>可加入</x:v>
      </x:c>
      <x:c r="G20" s="20" t="str">
        <x:v>旧版对应关系 required_for_diagnosis_of (active): source=['Diagnostic Criteria']; target=['Disease']</x:v>
      </x:c>
      <x:c r="H20" s="20" t="str">
        <x:v>与旧版 required_for_diagnosis_of 的语义一致：诊断标准用于某疾病诊断。</x:v>
      </x:c>
      <x:c r="I20" s="23"/>
      <x:c r="J20" s="20" t="str">
        <x:v>required_for_diagnosis_of</x:v>
      </x:c>
    </x:row>
    <x:row r="21" ht="13.5" hidden="0" customHeight="1">
      <x:c r="A21" s="23" t="str">
        <x:v>Symptom</x:v>
      </x:c>
      <x:c r="B21" s="20" t="str">
        <x:v>is_core_symptom_of</x:v>
      </x:c>
      <x:c r="C21" s="20" t="str">
        <x:v>核心症状</x:v>
      </x:c>
      <x:c r="D21" s="20" t="str">
        <x:v>["Disease"]</x:v>
      </x:c>
      <x:c r="E21" s="23" t="str">
        <x:v>高</x:v>
      </x:c>
      <x:c r="F21" s="23" t="str">
        <x:v>可加入</x:v>
      </x:c>
      <x:c r="G21" s="20" t="str">
        <x:v>旧版 active: source=['Symptom']; target=['Disease']</x:v>
      </x:c>
      <x:c r="H21" s="20" t="str">
        <x:v>旧版 active 同名关系明确为 Symptom→Disease。</x:v>
      </x:c>
      <x:c r="I21" s="23"/>
      <x:c r="J21" s="20"/>
    </x:row>
    <x:row r="22" ht="13.5" hidden="0" customHeight="1">
      <x:c r="A22" s="23" t="str">
        <x:v>Symptom</x:v>
      </x:c>
      <x:c r="B22" s="20" t="str">
        <x:v>is_associated_symptom_of</x:v>
      </x:c>
      <x:c r="C22" s="20" t="str">
        <x:v>伴随症状</x:v>
      </x:c>
      <x:c r="D22" s="20" t="str">
        <x:v>["Disease"]</x:v>
      </x:c>
      <x:c r="E22" s="23" t="str">
        <x:v>高</x:v>
      </x:c>
      <x:c r="F22" s="23" t="str">
        <x:v>可加入</x:v>
      </x:c>
      <x:c r="G22" s="20" t="str">
        <x:v>旧版 active: source=['Symptom']; target=['Disease']</x:v>
      </x:c>
      <x:c r="H22" s="20" t="str">
        <x:v>旧版 active 同名关系明确为 Symptom→Disease。</x:v>
      </x:c>
      <x:c r="I22" s="23"/>
      <x:c r="J22" s="20"/>
    </x:row>
    <x:row r="23" ht="13.5" hidden="0" customHeight="1">
      <x:c r="A23" s="23" t="str">
        <x:v>Symptom</x:v>
      </x:c>
      <x:c r="B23" s="20" t="str">
        <x:v>supports_diagnosis_of</x:v>
      </x:c>
      <x:c r="C23" s="20" t="str">
        <x:v>支持诊断</x:v>
      </x:c>
      <x:c r="D23" s="20" t="str">
        <x:v>["Disease"]</x:v>
      </x:c>
      <x:c r="E23" s="23" t="str">
        <x:v>高</x:v>
      </x:c>
      <x:c r="F23" s="23" t="str">
        <x:v>可加入</x:v>
      </x:c>
      <x:c r="G23" s="20" t="str">
        <x:v>旧版未定义该 relation</x:v>
      </x:c>
      <x:c r="H23" s="20" t="str">
        <x:v>症状支持疾病诊断。</x:v>
      </x:c>
      <x:c r="I23" s="23"/>
      <x:c r="J23" s="20"/>
    </x:row>
    <x:row r="24" ht="26.399999618530273" hidden="0" customHeight="1">
      <x:c r="A24" s="23" t="str">
        <x:v>Symptom</x:v>
      </x:c>
      <x:c r="B24" s="20" t="str">
        <x:v>supports_Diagnostic Criterion_of</x:v>
      </x:c>
      <x:c r="C24" s="20" t="str">
        <x:v>支持诊断标准</x:v>
      </x:c>
      <x:c r="D24" s="20" t="str">
        <x:v>["Diagnostic Criterion"]</x:v>
      </x:c>
      <x:c r="E24" s="23" t="str">
        <x:v>高</x:v>
      </x:c>
      <x:c r="F24" s="23" t="str">
        <x:v>可加入（建议规范命名）</x:v>
      </x:c>
      <x:c r="G24" s="20" t="str">
        <x:v>旧版未定义该 relation</x:v>
      </x:c>
      <x:c r="H24" s="20" t="str">
        <x:v>症状支持某条诊断标准；Target 为 Diagnostic Criterion。建议统一 relation 命名风格与大小写。</x:v>
      </x:c>
      <x:c r="I24" s="23"/>
      <x:c r="J24" s="20" t="str">
        <x:v>supports_diagnostic_criterion</x:v>
      </x:c>
    </x:row>
    <x:row r="25" ht="13.5" hidden="0" customHeight="1">
      <x:c r="A25" s="23" t="str">
        <x:v>Symptom</x:v>
      </x:c>
      <x:c r="B25" s="20" t="str">
        <x:v>suggests</x:v>
      </x:c>
      <x:c r="C25" s="20" t="str">
        <x:v>提示</x:v>
      </x:c>
      <x:c r="D25" s="20" t="str">
        <x:v>["Disease"]</x:v>
      </x:c>
      <x:c r="E25" s="23" t="str">
        <x:v>中高</x:v>
      </x:c>
      <x:c r="F25" s="23" t="str">
        <x:v>可加入</x:v>
      </x:c>
      <x:c r="G25" s="20" t="str">
        <x:v>旧版未定义该 relation</x:v>
      </x:c>
      <x:c r="H25" s="20" t="str">
        <x:v>临床症状可提示某疾病；语义清晰，但与 supports_diagnosis_of 有一定重叠。</x:v>
      </x:c>
      <x:c r="I25" s="23"/>
      <x:c r="J25" s="20"/>
    </x:row>
    <x:row r="26" ht="26.399999618530273" hidden="0" customHeight="1">
      <x:c r="A26" s="23" t="str">
        <x:v>Symptom</x:v>
      </x:c>
      <x:c r="B26" s="20" t="str">
        <x:v>argues_against</x:v>
      </x:c>
      <x:c r="C26" s="20" t="str">
        <x:v>排除</x:v>
      </x:c>
      <x:c r="D26" s="20" t="str">
        <x:v>["Disease"]</x:v>
      </x:c>
      <x:c r="E26" s="23" t="str">
        <x:v>高</x:v>
      </x:c>
      <x:c r="F26" s="23" t="str">
        <x:v>可加入</x:v>
      </x:c>
      <x:c r="G26" s="20" t="str">
        <x:v>旧版对应关系 excludes_diagnosis_of (active): source=['Diagnostic Criteria', 'Symptom']; target=['Disease']</x:v>
      </x:c>
      <x:c r="H26" s="20" t="str">
        <x:v>与旧版 Symptom→excludes_diagnosis_of→Disease 的设计一致，表示降低/排除某诊断可能性。</x:v>
      </x:c>
      <x:c r="I26" s="23"/>
      <x:c r="J26" s="20"/>
    </x:row>
    <x:row r="27" ht="26.399999618530273" hidden="0" customHeight="1">
      <x:c r="A27" s="23" t="str">
        <x:v>Symptom</x:v>
      </x:c>
      <x:c r="B27" s="20" t="str">
        <x:v>precedes</x:v>
      </x:c>
      <x:c r="C27" s="20" t="str">
        <x:v>先于</x:v>
      </x:c>
      <x:c r="D27" s="20" t="str">
        <x:v>["Symptom"]</x:v>
      </x:c>
      <x:c r="E27" s="23" t="str">
        <x:v>中</x:v>
      </x:c>
      <x:c r="F27" s="23" t="str">
        <x:v>需复核</x:v>
      </x:c>
      <x:c r="G27" s="20" t="str">
        <x:v>旧版同名关系：needs_medical_review（source/target 未定）</x:v>
      </x:c>
      <x:c r="H27" s="20" t="str">
        <x:v>旧版同名关系标记 needs_medical_review；按新版关系分组最自然解释为症状间时序。</x:v>
      </x:c>
      <x:c r="I27" s="23"/>
      <x:c r="J27" s="20"/>
    </x:row>
    <x:row r="28" ht="26.399999618530273" hidden="0" customHeight="1">
      <x:c r="A28" s="23" t="str">
        <x:v>Symptom</x:v>
      </x:c>
      <x:c r="B28" s="20" t="str">
        <x:v>follows</x:v>
      </x:c>
      <x:c r="C28" s="20" t="str">
        <x:v>继发于</x:v>
      </x:c>
      <x:c r="D28" s="20" t="str">
        <x:v>["Symptom"]</x:v>
      </x:c>
      <x:c r="E28" s="23" t="str">
        <x:v>中</x:v>
      </x:c>
      <x:c r="F28" s="23" t="str">
        <x:v>需复核</x:v>
      </x:c>
      <x:c r="G28" s="20" t="str">
        <x:v>旧版同名关系：needs_medical_review（source/target 未定）</x:v>
      </x:c>
      <x:c r="H28" s="20" t="str">
        <x:v>旧版同名关系标记 needs_medical_review；按新版关系分组最自然解释为症状间时序。</x:v>
      </x:c>
      <x:c r="I28" s="23"/>
      <x:c r="J28" s="20"/>
    </x:row>
    <x:row r="29" ht="13.5" hidden="0" customHeight="1">
      <x:c r="A29" s="23" t="str">
        <x:v>Symptom</x:v>
      </x:c>
      <x:c r="B29" s="20" t="str">
        <x:v>worsens</x:v>
      </x:c>
      <x:c r="C29" s="20" t="str">
        <x:v>加重</x:v>
      </x:c>
      <x:c r="D29" s="20" t="str">
        <x:v>["Symptom"]</x:v>
      </x:c>
      <x:c r="E29" s="23" t="str">
        <x:v>中</x:v>
      </x:c>
      <x:c r="F29" s="23" t="str">
        <x:v>需复核</x:v>
      </x:c>
      <x:c r="G29" s="20" t="str">
        <x:v>旧版未定义该 relation</x:v>
      </x:c>
      <x:c r="H29" s="20" t="str">
        <x:v>优先解释为症状加重另一症状；若希望表达加重疾病，应另设更明确 relation。</x:v>
      </x:c>
      <x:c r="I29" s="23"/>
      <x:c r="J29" s="20"/>
    </x:row>
    <x:row r="30" ht="13.5" hidden="0" customHeight="1">
      <x:c r="A30" s="23" t="str">
        <x:v>Symptom</x:v>
      </x:c>
      <x:c r="B30" s="20" t="str">
        <x:v>relieved_by</x:v>
      </x:c>
      <x:c r="C30" s="20" t="str">
        <x:v>缓解</x:v>
      </x:c>
      <x:c r="D30" s="20" t="str">
        <x:v>["Medication", "Treatment"]</x:v>
      </x:c>
      <x:c r="E30" s="23" t="str">
        <x:v>高</x:v>
      </x:c>
      <x:c r="F30" s="23" t="str">
        <x:v>可加入</x:v>
      </x:c>
      <x:c r="G30" s="20" t="str">
        <x:v>旧版未定义该 relation</x:v>
      </x:c>
      <x:c r="H30" s="20" t="str">
        <x:v>症状可被药物或非药物治疗缓解。</x:v>
      </x:c>
      <x:c r="I30" s="23"/>
      <x:c r="J30" s="20"/>
    </x:row>
    <x:row r="31" ht="39.599998474121094" hidden="0" customHeight="1">
      <x:c r="A31" s="23" t="str">
        <x:v>Symptom</x:v>
      </x:c>
      <x:c r="B31" s="20" t="str">
        <x:v>modulated_by</x:v>
      </x:c>
      <x:c r="C31" s="20" t="str">
        <x:v>调节</x:v>
      </x:c>
      <x:c r="D31" s="20" t="str">
        <x:v>["Etiology", "Medication", "Treatment"]</x:v>
      </x:c>
      <x:c r="E31" s="23" t="str">
        <x:v>低</x:v>
      </x:c>
      <x:c r="F31" s="23" t="str">
        <x:v>暂缓加入</x:v>
      </x:c>
      <x:c r="G31" s="20" t="str">
        <x:v>旧版同名关系：needs_medical_review（source/target 未定）</x:v>
      </x:c>
      <x:c r="H31" s="20" t="str">
        <x:v>旧版同名关系已标记 needs_medical_review；“调节”可指诱因、药物或治疗，语义过宽，建议拆分为 worsened_by / relieved_by 等更具体关系。</x:v>
      </x:c>
      <x:c r="I31" s="23"/>
      <x:c r="J31" s="20"/>
    </x:row>
    <x:row r="32" ht="13.5" hidden="0" customHeight="1">
      <x:c r="A32" s="23" t="str">
        <x:v>Symptom</x:v>
      </x:c>
      <x:c r="B32" s="20" t="str">
        <x:v>part_of</x:v>
      </x:c>
      <x:c r="C32" s="20" t="str">
        <x:v>属于</x:v>
      </x:c>
      <x:c r="D32" s="20" t="str">
        <x:v>["Symptom"]</x:v>
      </x:c>
      <x:c r="E32" s="23" t="str">
        <x:v>中</x:v>
      </x:c>
      <x:c r="F32" s="23" t="str">
        <x:v>需复核</x:v>
      </x:c>
      <x:c r="G32" s="20" t="str">
        <x:v>旧版未定义该 relation</x:v>
      </x:c>
      <x:c r="H32" s="20" t="str">
        <x:v>可表示症状层级，但新版 Symptom 已有 Parent Symptom 属性，可能重复。</x:v>
      </x:c>
      <x:c r="I32" s="23"/>
      <x:c r="J32" s="20"/>
    </x:row>
    <x:row r="33" ht="26.399999618530273" hidden="0" customHeight="1">
      <x:c r="A33" s="23" t="str">
        <x:v>Symptom</x:v>
      </x:c>
      <x:c r="B33" s="20" t="str">
        <x:v>has_manifestation</x:v>
      </x:c>
      <x:c r="C33" s="20" t="str">
        <x:v>表现为</x:v>
      </x:c>
      <x:c r="D33" s="20" t="str">
        <x:v>["Symptom"]</x:v>
      </x:c>
      <x:c r="E33" s="23" t="str">
        <x:v>中</x:v>
      </x:c>
      <x:c r="F33" s="23" t="str">
        <x:v>需复核</x:v>
      </x:c>
      <x:c r="G33" s="20" t="str">
        <x:v>旧版未定义该 relation</x:v>
      </x:c>
      <x:c r="H33" s="20" t="str">
        <x:v>可解释为上位/复合症状表现为更具体症状，但需与 Symptom.description/manifestation 类属性边界保持一致。</x:v>
      </x:c>
      <x:c r="I33" s="23"/>
      <x:c r="J33" s="20"/>
    </x:row>
    <x:row r="34" ht="26.399999618530273" hidden="0" customHeight="1">
      <x:c r="A34" s="23" t="str">
        <x:v>Assessment</x:v>
      </x:c>
      <x:c r="B34" s="20" t="str">
        <x:v>assesses_for</x:v>
      </x:c>
      <x:c r="C34" s="20" t="str">
        <x:v>用于评估</x:v>
      </x:c>
      <x:c r="D34" s="20" t="str">
        <x:v>["Disease", "Symptom", "Risk"]</x:v>
      </x:c>
      <x:c r="E34" s="23" t="str">
        <x:v>高</x:v>
      </x:c>
      <x:c r="F34" s="23" t="str">
        <x:v>可加入</x:v>
      </x:c>
      <x:c r="G34" s="20" t="str">
        <x:v>旧版 active: source=['Interview Tool']; target=['Disease', 'Symptom']</x:v>
      </x:c>
      <x:c r="H34" s="20" t="str">
        <x:v>旧版 active 的 assesses_for 为 Interview Tool→Disease/Symptom；新版新增 Risk 节点后，风险评估也合理纳入 Target。</x:v>
      </x:c>
      <x:c r="I34" s="23"/>
      <x:c r="J34" s="20"/>
    </x:row>
    <x:row r="35" ht="13.5" hidden="0" customHeight="1">
      <x:c r="A35" s="23" t="str">
        <x:v>Assessment</x:v>
      </x:c>
      <x:c r="B35" s="20" t="str">
        <x:v>asks_about</x:v>
      </x:c>
      <x:c r="C35" s="20" t="str">
        <x:v>询问症状</x:v>
      </x:c>
      <x:c r="D35" s="20" t="str">
        <x:v>["Symptom"]</x:v>
      </x:c>
      <x:c r="E35" s="23" t="str">
        <x:v>高</x:v>
      </x:c>
      <x:c r="F35" s="23" t="str">
        <x:v>可加入</x:v>
      </x:c>
      <x:c r="G35" s="20" t="str">
        <x:v>旧版未定义该 relation</x:v>
      </x:c>
      <x:c r="H35" s="20" t="str">
        <x:v>临床评估问题询问症状。</x:v>
      </x:c>
      <x:c r="I35" s="23"/>
      <x:c r="J35" s="20"/>
    </x:row>
    <x:row r="36" ht="39.599998474121094" hidden="0" customHeight="1">
      <x:c r="A36" s="23" t="str">
        <x:v>Assessment</x:v>
      </x:c>
      <x:c r="B36" s="20" t="str">
        <x:v>triggers_follow_up_question</x:v>
      </x:c>
      <x:c r="C36" s="20" t="str">
        <x:v>触发追问</x:v>
      </x:c>
      <x:c r="D36" s="20" t="str">
        <x:v>["Assessment"]</x:v>
      </x:c>
      <x:c r="E36" s="23" t="str">
        <x:v>中</x:v>
      </x:c>
      <x:c r="F36" s="23" t="str">
        <x:v>需复核</x:v>
      </x:c>
      <x:c r="G36" s="20" t="str">
        <x:v>旧版未定义该 relation</x:v>
      </x:c>
      <x:c r="H36" s="20" t="str">
        <x:v>旧版相关关系 triggers_follow_up_question_on 标记 needs_medical_review。只有当追问问题也建成独立 Assessment 节点时 Target=Assessment；否则更适合作为 Follow-up Question 属性。</x:v>
      </x:c>
      <x:c r="I36" s="23"/>
      <x:c r="J36" s="20"/>
    </x:row>
    <x:row r="37" ht="13.5" hidden="0" customHeight="1">
      <x:c r="A37" s="23" t="str">
        <x:v>Assessment</x:v>
      </x:c>
      <x:c r="B37" s="20" t="str">
        <x:v>triggers_scale</x:v>
      </x:c>
      <x:c r="C37" s="20" t="str">
        <x:v>触发量表</x:v>
      </x:c>
      <x:c r="D37" s="20" t="str">
        <x:v>["Assessment Scale"]</x:v>
      </x:c>
      <x:c r="E37" s="23" t="str">
        <x:v>高</x:v>
      </x:c>
      <x:c r="F37" s="23" t="str">
        <x:v>可加入</x:v>
      </x:c>
      <x:c r="G37" s="20" t="str">
        <x:v>旧版未定义该 relation</x:v>
      </x:c>
      <x:c r="H37" s="20" t="str">
        <x:v>临床评估触发量表。</x:v>
      </x:c>
      <x:c r="I37" s="23"/>
      <x:c r="J37" s="20"/>
    </x:row>
    <x:row r="38" ht="13.5" hidden="0" customHeight="1">
      <x:c r="A38" s="23" t="str">
        <x:v>Assessment</x:v>
      </x:c>
      <x:c r="B38" s="20" t="str">
        <x:v>triggers_test</x:v>
      </x:c>
      <x:c r="C38" s="20" t="str">
        <x:v>触发检查</x:v>
      </x:c>
      <x:c r="D38" s="20" t="str">
        <x:v>["Examination"]</x:v>
      </x:c>
      <x:c r="E38" s="23" t="str">
        <x:v>高</x:v>
      </x:c>
      <x:c r="F38" s="23" t="str">
        <x:v>可加入</x:v>
      </x:c>
      <x:c r="G38" s="20" t="str">
        <x:v>旧版未定义该 relation</x:v>
      </x:c>
      <x:c r="H38" s="20" t="str">
        <x:v>临床评估触发检查。</x:v>
      </x:c>
      <x:c r="I38" s="23"/>
      <x:c r="J38" s="20"/>
    </x:row>
    <x:row r="39" ht="26.399999618530273" hidden="0" customHeight="1">
      <x:c r="A39" s="23" t="str">
        <x:v>Assessment</x:v>
      </x:c>
      <x:c r="B39" s="20" t="str">
        <x:v>informed_by_patient</x:v>
      </x:c>
      <x:c r="C39" s="20" t="str">
        <x:v>受患者影响</x:v>
      </x:c>
      <x:c r="D39" s="20" t="str">
        <x:v>["Patient"]</x:v>
      </x:c>
      <x:c r="E39" s="23" t="str">
        <x:v>高</x:v>
      </x:c>
      <x:c r="F39" s="23" t="str">
        <x:v>可加入</x:v>
      </x:c>
      <x:c r="G39" s="20" t="str">
        <x:v>旧版对应关系 informed_by_patient_demographics (active): source=['Interview Tool']; target=['Patient Information']</x:v>
      </x:c>
      <x:c r="H39" s="20" t="str">
        <x:v>旧版 active 的 informed_by_patient_demographics 为 Interview Tool→Patient Information；新版可映射为 Assessment→Patient。</x:v>
      </x:c>
      <x:c r="I39" s="23"/>
      <x:c r="J39" s="20"/>
    </x:row>
    <x:row r="40" ht="13.5" hidden="0" customHeight="1">
      <x:c r="A40" s="23" t="str">
        <x:v>Patient</x:v>
      </x:c>
      <x:c r="B40" s="20" t="str">
        <x:v>presents_with</x:v>
      </x:c>
      <x:c r="C40" s="20" t="str">
        <x:v>出现症状</x:v>
      </x:c>
      <x:c r="D40" s="20" t="str">
        <x:v>["Symptom"]</x:v>
      </x:c>
      <x:c r="E40" s="23" t="str">
        <x:v>高</x:v>
      </x:c>
      <x:c r="F40" s="23" t="str">
        <x:v>可加入</x:v>
      </x:c>
      <x:c r="G40" s="20" t="str">
        <x:v>旧版未定义该 relation</x:v>
      </x:c>
      <x:c r="H40" s="20" t="str">
        <x:v>患者出现症状。</x:v>
      </x:c>
      <x:c r="I40" s="23"/>
      <x:c r="J40" s="20"/>
    </x:row>
    <x:row r="41" ht="13.5" hidden="0" customHeight="1">
      <x:c r="A41" s="23" t="str">
        <x:v>Patient</x:v>
      </x:c>
      <x:c r="B41" s="20" t="str">
        <x:v>has_risk</x:v>
      </x:c>
      <x:c r="C41" s="20" t="str">
        <x:v>存在风险</x:v>
      </x:c>
      <x:c r="D41" s="20" t="str">
        <x:v>["Risk"]</x:v>
      </x:c>
      <x:c r="E41" s="23" t="str">
        <x:v>高</x:v>
      </x:c>
      <x:c r="F41" s="23" t="str">
        <x:v>可加入</x:v>
      </x:c>
      <x:c r="G41" s="20" t="str">
        <x:v>旧版未定义该 relation</x:v>
      </x:c>
      <x:c r="H41" s="20" t="str">
        <x:v>患者存在某风险。</x:v>
      </x:c>
      <x:c r="I41" s="23"/>
      <x:c r="J41" s="20"/>
    </x:row>
    <x:row r="42" ht="13.5" hidden="0" customHeight="1">
      <x:c r="A42" s="23" t="str">
        <x:v>Patient</x:v>
      </x:c>
      <x:c r="B42" s="20" t="str">
        <x:v>receives_treatment_plan</x:v>
      </x:c>
      <x:c r="C42" s="20" t="str">
        <x:v>接受治疗方案</x:v>
      </x:c>
      <x:c r="D42" s="20" t="str">
        <x:v>["Treatment Plan"]</x:v>
      </x:c>
      <x:c r="E42" s="23" t="str">
        <x:v>高</x:v>
      </x:c>
      <x:c r="F42" s="23" t="str">
        <x:v>可加入</x:v>
      </x:c>
      <x:c r="G42" s="20" t="str">
        <x:v>旧版未定义该 relation</x:v>
      </x:c>
      <x:c r="H42" s="20" t="str">
        <x:v>患者接受某治疗方案。</x:v>
      </x:c>
      <x:c r="I42" s="23"/>
      <x:c r="J42" s="20"/>
    </x:row>
    <x:row r="43" ht="26.399999618530273" hidden="0" customHeight="1">
      <x:c r="A43" s="23" t="str">
        <x:v>Patient</x:v>
      </x:c>
      <x:c r="B43" s="20" t="str">
        <x:v>contraindicated_for</x:v>
      </x:c>
      <x:c r="C43" s="20" t="str">
        <x:v>治疗禁忌</x:v>
      </x:c>
      <x:c r="D43" s="20" t="str">
        <x:v>["Medication", "Treatment"]</x:v>
      </x:c>
      <x:c r="E43" s="23" t="str">
        <x:v>中</x:v>
      </x:c>
      <x:c r="F43" s="23" t="str">
        <x:v>需复核</x:v>
      </x:c>
      <x:c r="G43" s="20" t="str">
        <x:v>旧版未定义该 relation</x:v>
      </x:c>
      <x:c r="H43" s="20" t="str">
        <x:v>患者/特定人群可对药物或非药物治疗存在禁忌；如需覆盖整体方案，可另评估是否加入 Treatment Plan。</x:v>
      </x:c>
      <x:c r="I43" s="23"/>
      <x:c r="J43" s="20"/>
    </x:row>
    <x:row r="44" ht="13.5" hidden="0" customHeight="1">
      <x:c r="A44" s="23" t="str">
        <x:v>Medication</x:v>
      </x:c>
      <x:c r="B44" s="20" t="str">
        <x:v>first_line_for</x:v>
      </x:c>
      <x:c r="C44" s="20" t="str">
        <x:v>一线药物</x:v>
      </x:c>
      <x:c r="D44" s="20" t="str">
        <x:v>["Disease"]</x:v>
      </x:c>
      <x:c r="E44" s="23" t="str">
        <x:v>高</x:v>
      </x:c>
      <x:c r="F44" s="23" t="str">
        <x:v>可加入</x:v>
      </x:c>
      <x:c r="G44" s="20" t="str">
        <x:v>旧版 active: source=['Medication']; target=['Disease']</x:v>
      </x:c>
      <x:c r="H44" s="20" t="str">
        <x:v>旧版 active 同名关系明确为 Medication→Disease。</x:v>
      </x:c>
      <x:c r="I44" s="23"/>
      <x:c r="J44" s="20"/>
    </x:row>
    <x:row r="45" ht="13.5" hidden="0" customHeight="1">
      <x:c r="A45" s="23" t="str">
        <x:v>Medication</x:v>
      </x:c>
      <x:c r="B45" s="20" t="str">
        <x:v>second_line_for</x:v>
      </x:c>
      <x:c r="C45" s="20" t="str">
        <x:v>二线药物</x:v>
      </x:c>
      <x:c r="D45" s="20" t="str">
        <x:v>["Disease"]</x:v>
      </x:c>
      <x:c r="E45" s="23" t="str">
        <x:v>高</x:v>
      </x:c>
      <x:c r="F45" s="23" t="str">
        <x:v>可加入</x:v>
      </x:c>
      <x:c r="G45" s="20" t="str">
        <x:v>旧版未定义该 relation</x:v>
      </x:c>
      <x:c r="H45" s="20" t="str">
        <x:v>二线药物对应疾病。</x:v>
      </x:c>
      <x:c r="I45" s="23"/>
      <x:c r="J45" s="20"/>
    </x:row>
    <x:row r="46" ht="26.399999618530273" hidden="0" customHeight="1">
      <x:c r="A46" s="23" t="str">
        <x:v>Medication</x:v>
      </x:c>
      <x:c r="B46" s="20" t="str">
        <x:v>recommended_for</x:v>
      </x:c>
      <x:c r="C46" s="20" t="str">
        <x:v>推荐用于</x:v>
      </x:c>
      <x:c r="D46" s="20" t="str">
        <x:v>["Disease"]</x:v>
      </x:c>
      <x:c r="E46" s="23" t="str">
        <x:v>高</x:v>
      </x:c>
      <x:c r="F46" s="23" t="str">
        <x:v>可加入</x:v>
      </x:c>
      <x:c r="G46" s="20" t="str">
        <x:v>旧版 active: source=['Communication Method']; target=['Disease', 'Patient Information']</x:v>
      </x:c>
      <x:c r="H46" s="20" t="str">
        <x:v>药物推荐用于某疾病。</x:v>
      </x:c>
      <x:c r="I46" s="23"/>
      <x:c r="J46" s="20"/>
    </x:row>
    <x:row r="47" ht="39.599998474121094" hidden="0" customHeight="1">
      <x:c r="A47" s="23" t="str">
        <x:v>Medication</x:v>
      </x:c>
      <x:c r="B47" s="20" t="str">
        <x:v>contraindicated_in</x:v>
      </x:c>
      <x:c r="C47" s="20" t="str">
        <x:v>禁忌</x:v>
      </x:c>
      <x:c r="D47" s="20" t="str">
        <x:v>["Disease", "Patient"]</x:v>
      </x:c>
      <x:c r="E47" s="23" t="str">
        <x:v>中高</x:v>
      </x:c>
      <x:c r="F47" s="23" t="str">
        <x:v>可加入但需复核</x:v>
      </x:c>
      <x:c r="G47" s="20" t="str">
        <x:v>旧版同名关系：needs_medical_review（source/target 未定）</x:v>
      </x:c>
      <x:c r="H47" s="20" t="str">
        <x:v>旧版同名关系曾标记 needs_medical_review；新版节点体系下，疾病/共病状态与特定患者人群均可形成禁忌。</x:v>
      </x:c>
      <x:c r="I47" s="23"/>
      <x:c r="J47" s="20"/>
    </x:row>
    <x:row r="48" ht="26.399999618530273" hidden="0" customHeight="1">
      <x:c r="A48" s="23" t="str">
        <x:v>Medication</x:v>
      </x:c>
      <x:c r="B48" s="20" t="str">
        <x:v>interacts_with</x:v>
      </x:c>
      <x:c r="C48" s="20" t="str">
        <x:v>药物相互作用</x:v>
      </x:c>
      <x:c r="D48" s="20" t="str">
        <x:v>["Medication"]</x:v>
      </x:c>
      <x:c r="E48" s="23" t="str">
        <x:v>高</x:v>
      </x:c>
      <x:c r="F48" s="23" t="str">
        <x:v>可加入</x:v>
      </x:c>
      <x:c r="G48" s="20" t="str">
        <x:v>旧版同名关系：needs_medical_review（source/target 未定）</x:v>
      </x:c>
      <x:c r="H48" s="20" t="str">
        <x:v>虽然旧版曾标记 needs_medical_review，但在当前节点集合中药物相互作用的 Target=Medication 很明确。</x:v>
      </x:c>
      <x:c r="I48" s="23"/>
      <x:c r="J48" s="20"/>
    </x:row>
    <x:row r="49" ht="26.399999618530273" hidden="0" customHeight="1">
      <x:c r="A49" s="23" t="str">
        <x:v>Medication</x:v>
      </x:c>
      <x:c r="B49" s="20" t="str">
        <x:v>causes_side_effect</x:v>
      </x:c>
      <x:c r="C49" s="20" t="str">
        <x:v>导致副作用</x:v>
      </x:c>
      <x:c r="D49" s="20" t="str">
        <x:v>["Symptom"]</x:v>
      </x:c>
      <x:c r="E49" s="23" t="str">
        <x:v>中高</x:v>
      </x:c>
      <x:c r="F49" s="23" t="str">
        <x:v>可加入但需复核</x:v>
      </x:c>
      <x:c r="G49" s="20" t="str">
        <x:v>旧版未定义该 relation</x:v>
      </x:c>
      <x:c r="H49" s="20" t="str">
        <x:v>当前没有 Side Effect 独立节点；若副作用统一作为临床表现建模，可映射到 Symptom，否则应保留为 Medication.Side Effects 属性。</x:v>
      </x:c>
      <x:c r="I49" s="23"/>
      <x:c r="J49" s="20"/>
    </x:row>
    <x:row r="50" ht="26.399999618530273" hidden="0" customHeight="1">
      <x:c r="A50" s="23" t="str">
        <x:v>Medication</x:v>
      </x:c>
      <x:c r="B50" s="20" t="str">
        <x:v>monitor_for</x:v>
      </x:c>
      <x:c r="C50" s="20" t="str">
        <x:v>监测</x:v>
      </x:c>
      <x:c r="D50" s="20" t="str">
        <x:v>["Examination", "Symptom", "Risk"]</x:v>
      </x:c>
      <x:c r="E50" s="23" t="str">
        <x:v>中</x:v>
      </x:c>
      <x:c r="F50" s="23" t="str">
        <x:v>需复核</x:v>
      </x:c>
      <x:c r="G50" s="20" t="str">
        <x:v>旧版未定义该 relation</x:v>
      </x:c>
      <x:c r="H50" s="20" t="str">
        <x:v>“监测”可能指实验室/检查指标、症状性不良反应或风险，Target 较宽，建议后续按语料拆分。</x:v>
      </x:c>
      <x:c r="I50" s="23"/>
      <x:c r="J50" s="20"/>
    </x:row>
    <x:row r="51" ht="13.5" hidden="0" customHeight="1">
      <x:c r="A51" s="23" t="str">
        <x:v>Treatment</x:v>
      </x:c>
      <x:c r="B51" s="20" t="str">
        <x:v>combined_with</x:v>
      </x:c>
      <x:c r="C51" s="20" t="str">
        <x:v>联合治疗</x:v>
      </x:c>
      <x:c r="D51" s="20" t="str">
        <x:v>["Treatment", "Medication"]</x:v>
      </x:c>
      <x:c r="E51" s="23" t="str">
        <x:v>高</x:v>
      </x:c>
      <x:c r="F51" s="23" t="str">
        <x:v>可加入</x:v>
      </x:c>
      <x:c r="G51" s="20" t="str">
        <x:v>旧版未定义该 relation</x:v>
      </x:c>
      <x:c r="H51" s="20" t="str">
        <x:v>非药物治疗可与另一非药物治疗或药物联合。</x:v>
      </x:c>
      <x:c r="I51" s="23"/>
      <x:c r="J51" s="20"/>
    </x:row>
    <x:row r="52" ht="13.5" hidden="0" customHeight="1">
      <x:c r="A52" s="23" t="str">
        <x:v>Treatment</x:v>
      </x:c>
      <x:c r="B52" s="20" t="str">
        <x:v>supported_by_evidence</x:v>
      </x:c>
      <x:c r="C52" s="20" t="str">
        <x:v>证据支持</x:v>
      </x:c>
      <x:c r="D52" s="20" t="str">
        <x:v>["Evidence"]</x:v>
      </x:c>
      <x:c r="E52" s="23" t="str">
        <x:v>高</x:v>
      </x:c>
      <x:c r="F52" s="23" t="str">
        <x:v>可加入</x:v>
      </x:c>
      <x:c r="G52" s="20" t="str">
        <x:v>旧版未定义该 relation</x:v>
      </x:c>
      <x:c r="H52" s="20" t="str">
        <x:v>治疗由文献证据支持。</x:v>
      </x:c>
      <x:c r="I52" s="23"/>
      <x:c r="J52" s="20"/>
    </x:row>
    <x:row r="53" ht="26.399999618530273" hidden="0" customHeight="1">
      <x:c r="A53" s="23" t="str">
        <x:v>TreatmentPlan</x:v>
      </x:c>
      <x:c r="B53" s="20" t="str">
        <x:v>consists_of_medication</x:v>
      </x:c>
      <x:c r="C53" s="20" t="str">
        <x:v>包含药物</x:v>
      </x:c>
      <x:c r="D53" s="20" t="str">
        <x:v>["Medication"]</x:v>
      </x:c>
      <x:c r="E53" s="23" t="str">
        <x:v>高</x:v>
      </x:c>
      <x:c r="F53" s="23" t="str">
        <x:v>需修正 Source 后加入</x:v>
      </x:c>
      <x:c r="G53" s="20" t="str">
        <x:v>旧版未定义该 relation</x:v>
      </x:c>
      <x:c r="H53" s="20" t="str">
        <x:v>Target 清晰；新版节点 Label 为 Treatment Plan，而关系表写作 TreatmentPlan，应统一。</x:v>
      </x:c>
      <x:c r="I53" s="23" t="str">
        <x:v>Treatment Plan</x:v>
      </x:c>
      <x:c r="J53" s="20"/>
    </x:row>
    <x:row r="54" ht="26.399999618530273" hidden="0" customHeight="1">
      <x:c r="A54" s="23" t="str">
        <x:v>TreatmentPlan</x:v>
      </x:c>
      <x:c r="B54" s="20" t="str">
        <x:v>consists_of_treatment</x:v>
      </x:c>
      <x:c r="C54" s="20" t="str">
        <x:v>包含非药物</x:v>
      </x:c>
      <x:c r="D54" s="20" t="str">
        <x:v>["Treatment"]</x:v>
      </x:c>
      <x:c r="E54" s="23" t="str">
        <x:v>高</x:v>
      </x:c>
      <x:c r="F54" s="23" t="str">
        <x:v>需修正 Source 后加入</x:v>
      </x:c>
      <x:c r="G54" s="20" t="str">
        <x:v>旧版未定义该 relation</x:v>
      </x:c>
      <x:c r="H54" s="20" t="str">
        <x:v>Target 清晰；新版节点 Label 为 Treatment Plan，而关系表写作 TreatmentPlan，应统一。</x:v>
      </x:c>
      <x:c r="I54" s="23" t="str">
        <x:v>Treatment Plan</x:v>
      </x:c>
      <x:c r="J54" s="20"/>
    </x:row>
    <x:row r="55" ht="13.5" hidden="0" customHeight="1">
      <x:c r="A55" s="23" t="str">
        <x:v>TreatmentPlan</x:v>
      </x:c>
      <x:c r="B55" s="20" t="str">
        <x:v>applicable_to</x:v>
      </x:c>
      <x:c r="C55" s="20" t="str">
        <x:v>适用于疾病</x:v>
      </x:c>
      <x:c r="D55" s="20" t="str">
        <x:v>["Disease"]</x:v>
      </x:c>
      <x:c r="E55" s="23" t="str">
        <x:v>高</x:v>
      </x:c>
      <x:c r="F55" s="23" t="str">
        <x:v>需修正 Source 后加入</x:v>
      </x:c>
      <x:c r="G55" s="20" t="str">
        <x:v>旧版未定义该 relation</x:v>
      </x:c>
      <x:c r="H55" s="20" t="str">
        <x:v>治疗方案适用于疾病；同时应将 Source 统一为 Treatment Plan。</x:v>
      </x:c>
      <x:c r="I55" s="23" t="str">
        <x:v>Treatment Plan</x:v>
      </x:c>
      <x:c r="J55" s="20"/>
    </x:row>
    <x:row r="56" ht="13.5" hidden="0" customHeight="1">
      <x:c r="A56" s="23" t="str">
        <x:v>TreatmentPlan</x:v>
      </x:c>
      <x:c r="B56" s="20" t="str">
        <x:v>recommended_by</x:v>
      </x:c>
      <x:c r="C56" s="20" t="str">
        <x:v>被指南推荐</x:v>
      </x:c>
      <x:c r="D56" s="20" t="str">
        <x:v>["Guideline"]</x:v>
      </x:c>
      <x:c r="E56" s="23" t="str">
        <x:v>高</x:v>
      </x:c>
      <x:c r="F56" s="23" t="str">
        <x:v>需修正 Source 后加入</x:v>
      </x:c>
      <x:c r="G56" s="20" t="str">
        <x:v>旧版未定义该 relation</x:v>
      </x:c>
      <x:c r="H56" s="20" t="str">
        <x:v>治疗方案由指南推荐；同时应将 Source 统一为 Treatment Plan。</x:v>
      </x:c>
      <x:c r="I56" s="23" t="str">
        <x:v>Treatment Plan</x:v>
      </x:c>
      <x:c r="J56" s="20"/>
    </x:row>
    <x:row r="57" ht="13.5" hidden="0" customHeight="1">
      <x:c r="A57" s="23" t="str">
        <x:v>Examination</x:v>
      </x:c>
      <x:c r="B57" s="20" t="str">
        <x:v>supports_diagnosis_of</x:v>
      </x:c>
      <x:c r="C57" s="20" t="str">
        <x:v>支持诊断</x:v>
      </x:c>
      <x:c r="D57" s="20" t="str">
        <x:v>["Disease"]</x:v>
      </x:c>
      <x:c r="E57" s="23" t="str">
        <x:v>高</x:v>
      </x:c>
      <x:c r="F57" s="23" t="str">
        <x:v>可加入</x:v>
      </x:c>
      <x:c r="G57" s="20" t="str">
        <x:v>旧版未定义该 relation</x:v>
      </x:c>
      <x:c r="H57" s="20" t="str">
        <x:v>检查支持疾病诊断。</x:v>
      </x:c>
      <x:c r="I57" s="23"/>
      <x:c r="J57" s="20"/>
    </x:row>
    <x:row r="58" ht="13.5" hidden="0" customHeight="1">
      <x:c r="A58" s="23" t="str">
        <x:v>Examination</x:v>
      </x:c>
      <x:c r="B58" s="20" t="str">
        <x:v>differentiates</x:v>
      </x:c>
      <x:c r="C58" s="20" t="str">
        <x:v>鉴别</x:v>
      </x:c>
      <x:c r="D58" s="20" t="str">
        <x:v>["Disease"]</x:v>
      </x:c>
      <x:c r="E58" s="23" t="str">
        <x:v>高</x:v>
      </x:c>
      <x:c r="F58" s="23" t="str">
        <x:v>可加入</x:v>
      </x:c>
      <x:c r="G58" s="20" t="str">
        <x:v>旧版未定义该 relation</x:v>
      </x:c>
      <x:c r="H58" s="20" t="str">
        <x:v>检查用于鉴别疾病。</x:v>
      </x:c>
      <x:c r="I58" s="23"/>
      <x:c r="J58" s="20"/>
    </x:row>
    <x:row r="59" ht="13.5" hidden="0" customHeight="1">
      <x:c r="A59" s="23" t="str">
        <x:v>Examination</x:v>
      </x:c>
      <x:c r="B59" s="20" t="str">
        <x:v>confirms</x:v>
      </x:c>
      <x:c r="C59" s="20" t="str">
        <x:v>确诊</x:v>
      </x:c>
      <x:c r="D59" s="20" t="str">
        <x:v>["Disease"]</x:v>
      </x:c>
      <x:c r="E59" s="23" t="str">
        <x:v>高</x:v>
      </x:c>
      <x:c r="F59" s="23" t="str">
        <x:v>可加入</x:v>
      </x:c>
      <x:c r="G59" s="20" t="str">
        <x:v>旧版未定义该 relation</x:v>
      </x:c>
      <x:c r="H59" s="20" t="str">
        <x:v>检查确认/支持确诊疾病。</x:v>
      </x:c>
      <x:c r="I59" s="23"/>
      <x:c r="J59" s="20"/>
    </x:row>
    <x:row r="60" ht="13.5" hidden="0" customHeight="1">
      <x:c r="A60" s="23" t="str">
        <x:v>Assessment Scale</x:v>
      </x:c>
      <x:c r="B60" s="20" t="str">
        <x:v>evaluates</x:v>
      </x:c>
      <x:c r="C60" s="20" t="str">
        <x:v>评估疾病</x:v>
      </x:c>
      <x:c r="D60" s="20" t="str">
        <x:v>["Disease"]</x:v>
      </x:c>
      <x:c r="E60" s="23" t="str">
        <x:v>高</x:v>
      </x:c>
      <x:c r="F60" s="23" t="str">
        <x:v>可加入</x:v>
      </x:c>
      <x:c r="G60" s="20" t="str">
        <x:v>旧版未定义该 relation</x:v>
      </x:c>
      <x:c r="H60" s="20" t="str">
        <x:v>量表评估疾病/严重程度。</x:v>
      </x:c>
      <x:c r="I60" s="23"/>
      <x:c r="J60" s="20"/>
    </x:row>
    <x:row r="61" ht="13.5" hidden="0" customHeight="1">
      <x:c r="A61" s="23" t="str">
        <x:v>Assessment Scale</x:v>
      </x:c>
      <x:c r="B61" s="20" t="str">
        <x:v>triggered_by</x:v>
      </x:c>
      <x:c r="C61" s="20" t="str">
        <x:v>被Assessment触发</x:v>
      </x:c>
      <x:c r="D61" s="20" t="str">
        <x:v>["Assessment"]</x:v>
      </x:c>
      <x:c r="E61" s="23" t="str">
        <x:v>高</x:v>
      </x:c>
      <x:c r="F61" s="23" t="str">
        <x:v>可加入</x:v>
      </x:c>
      <x:c r="G61" s="20" t="str">
        <x:v>旧版未定义该 relation</x:v>
      </x:c>
      <x:c r="H61" s="20" t="str">
        <x:v>量表由临床评估触发。</x:v>
      </x:c>
      <x:c r="I61" s="23"/>
      <x:c r="J61" s="20"/>
    </x:row>
    <x:row r="62" ht="13.5" hidden="0" customHeight="1">
      <x:c r="A62" s="23" t="str">
        <x:v>Assessment Scale</x:v>
      </x:c>
      <x:c r="B62" s="20" t="str">
        <x:v>measures</x:v>
      </x:c>
      <x:c r="C62" s="20" t="str">
        <x:v>测量症状</x:v>
      </x:c>
      <x:c r="D62" s="20" t="str">
        <x:v>["Symptom"]</x:v>
      </x:c>
      <x:c r="E62" s="23" t="str">
        <x:v>高</x:v>
      </x:c>
      <x:c r="F62" s="23" t="str">
        <x:v>可加入</x:v>
      </x:c>
      <x:c r="G62" s="20" t="str">
        <x:v>旧版未定义该 relation</x:v>
      </x:c>
      <x:c r="H62" s="20" t="str">
        <x:v>量表测量症状。</x:v>
      </x:c>
      <x:c r="I62" s="23"/>
      <x:c r="J62" s="20"/>
    </x:row>
    <x:row r="63" ht="13.5" hidden="0" customHeight="1">
      <x:c r="A63" s="23" t="str">
        <x:v>Etiology</x:v>
      </x:c>
      <x:c r="B63" s="20" t="str">
        <x:v>causes</x:v>
      </x:c>
      <x:c r="C63" s="20" t="str">
        <x:v>导致疾病</x:v>
      </x:c>
      <x:c r="D63" s="20" t="str">
        <x:v>["Disease"]</x:v>
      </x:c>
      <x:c r="E63" s="23" t="str">
        <x:v>高</x:v>
      </x:c>
      <x:c r="F63" s="23" t="str">
        <x:v>可加入</x:v>
      </x:c>
      <x:c r="G63" s="20" t="str">
        <x:v>旧版未定义该 relation</x:v>
      </x:c>
      <x:c r="H63" s="20" t="str">
        <x:v>病因导致疾病。</x:v>
      </x:c>
      <x:c r="I63" s="23"/>
      <x:c r="J63" s="20"/>
    </x:row>
    <x:row r="64" ht="13.5" hidden="0" customHeight="1">
      <x:c r="A64" s="23" t="str">
        <x:v>Etiology</x:v>
      </x:c>
      <x:c r="B64" s="20" t="str">
        <x:v>contributes_to</x:v>
      </x:c>
      <x:c r="C64" s="20" t="str">
        <x:v>增加发生概率</x:v>
      </x:c>
      <x:c r="D64" s="20" t="str">
        <x:v>["Disease"]</x:v>
      </x:c>
      <x:c r="E64" s="23" t="str">
        <x:v>高</x:v>
      </x:c>
      <x:c r="F64" s="23" t="str">
        <x:v>可加入</x:v>
      </x:c>
      <x:c r="G64" s="20" t="str">
        <x:v>旧版未定义该 relation</x:v>
      </x:c>
      <x:c r="H64" s="20" t="str">
        <x:v>病因/危险因素增加疾病发生概率。</x:v>
      </x:c>
      <x:c r="I64" s="23"/>
      <x:c r="J64" s="20"/>
    </x:row>
    <x:row r="65" ht="39.599998474121094" hidden="0" customHeight="1">
      <x:c r="A65" s="23" t="str">
        <x:v>Risk</x:v>
      </x:c>
      <x:c r="B65" s="20" t="str">
        <x:v>increases_risk_of</x:v>
      </x:c>
      <x:c r="C65" s="20" t="str">
        <x:v>增加风险</x:v>
      </x:c>
      <x:c r="D65" s="20" t="str">
        <x:v>["Risk"]</x:v>
      </x:c>
      <x:c r="E65" s="23" t="str">
        <x:v>低</x:v>
      </x:c>
      <x:c r="F65" s="23" t="str">
        <x:v>暂缓加入</x:v>
      </x:c>
      <x:c r="G65" s="20" t="str">
        <x:v>旧版未定义该 relation</x:v>
      </x:c>
      <x:c r="H65" s="20" t="str">
        <x:v>新版 Risk 节点更像风险结局/风险状态（如自杀风险），而该 relation 又要求 Source 像风险因素；Risk 节点语义存在混用，建议先拆分 Risk Factor 与 Risk Outcome。</x:v>
      </x:c>
      <x:c r="I65" s="23"/>
      <x:c r="J65" s="20"/>
    </x:row>
    <x:row r="66" ht="39.599998474121094" hidden="0" customHeight="1">
      <x:c r="A66" s="23" t="str">
        <x:v>Risk</x:v>
      </x:c>
      <x:c r="B66" s="20" t="str">
        <x:v>protective_against</x:v>
      </x:c>
      <x:c r="C66" s="20" t="str">
        <x:v>保护作用</x:v>
      </x:c>
      <x:c r="D66" s="20" t="str">
        <x:v>["Risk"]</x:v>
      </x:c>
      <x:c r="E66" s="23" t="str">
        <x:v>低</x:v>
      </x:c>
      <x:c r="F66" s="23" t="str">
        <x:v>暂缓加入</x:v>
      </x:c>
      <x:c r="G66" s="20" t="str">
        <x:v>旧版未定义该 relation</x:v>
      </x:c>
      <x:c r="H66" s="20" t="str">
        <x:v>旧版同类风险关系设计未定；若 Source=Risk 表示风险状态，“保护作用”语义不自然。更适合独立 Protective Factor/Risk Factor 节点。</x:v>
      </x:c>
      <x:c r="I66" s="23"/>
      <x:c r="J66" s="20"/>
    </x:row>
    <x:row r="67" ht="26.399999618530273" hidden="0" customHeight="1">
      <x:c r="A67" s="23" t="str">
        <x:v>Risk</x:v>
      </x:c>
      <x:c r="B67" s="20" t="str">
        <x:v>triggers_alert_when</x:v>
      </x:c>
      <x:c r="C67" s="20" t="str">
        <x:v>触发预警</x:v>
      </x:c>
      <x:c r="D67" s="20" t="str">
        <x:v>["Disease", "Symptom"]</x:v>
      </x:c>
      <x:c r="E67" s="23" t="str">
        <x:v>高</x:v>
      </x:c>
      <x:c r="F67" s="23" t="str">
        <x:v>可加入</x:v>
      </x:c>
      <x:c r="G67" s="20" t="str">
        <x:v>旧版 active: source=['Risk Information']; target=['Disease', 'Symptom']</x:v>
      </x:c>
      <x:c r="H67" s="20" t="str">
        <x:v>旧版 active 明确为 Risk Information→Disease/Symptom，表示某疾病/症状状态触发风险预警。</x:v>
      </x:c>
      <x:c r="I67" s="23"/>
      <x:c r="J67" s="20"/>
    </x:row>
    <x:row r="68" ht="26.399999618530273" hidden="0" customHeight="1">
      <x:c r="A68" s="23" t="str">
        <x:v>Risk</x:v>
      </x:c>
      <x:c r="B68" s="20" t="str">
        <x:v>requires_emergency_action</x:v>
      </x:c>
      <x:c r="C68" s="20" t="str">
        <x:v>需要紧急处理</x:v>
      </x:c>
      <x:c r="D68" s="20" t="str">
        <x:v>["Treatment Plan"]</x:v>
      </x:c>
      <x:c r="E68" s="23" t="str">
        <x:v>中</x:v>
      </x:c>
      <x:c r="F68" s="23" t="str">
        <x:v>需复核</x:v>
      </x:c>
      <x:c r="G68" s="20" t="str">
        <x:v>旧版未定义该 relation</x:v>
      </x:c>
      <x:c r="H68" s="20" t="str">
        <x:v>当前无 Emergency Action 独立节点，只能将紧急处置映射到 Treatment Plan；若后续需要细粒度动作建议新增 Action/Intervention 节点。</x:v>
      </x:c>
      <x:c r="I68" s="23"/>
      <x:c r="J68" s="20"/>
    </x:row>
    <x:row r="69" ht="26.399999618530273" hidden="0" customHeight="1">
      <x:c r="A69" s="23" t="str">
        <x:v>Risk</x:v>
      </x:c>
      <x:c r="B69" s="20" t="str">
        <x:v>escalates_to</x:v>
      </x:c>
      <x:c r="C69" s="20" t="str">
        <x:v>升级处理</x:v>
      </x:c>
      <x:c r="D69" s="20" t="str">
        <x:v>["Treatment Plan"]</x:v>
      </x:c>
      <x:c r="E69" s="23" t="str">
        <x:v>低</x:v>
      </x:c>
      <x:c r="F69" s="23" t="str">
        <x:v>暂缓加入</x:v>
      </x:c>
      <x:c r="G69" s="20" t="str">
        <x:v>旧版同名关系：needs_medical_review（source/target 未定）</x:v>
      </x:c>
      <x:c r="H69" s="20" t="str">
        <x:v>旧版同名关系标记 needs_medical_review。结合中文“升级处理”，更像 Risk→Treatment Plan，而不是 Risk→Risk；建议重命名后再加入。</x:v>
      </x:c>
      <x:c r="I69" s="23"/>
      <x:c r="J69" s="20" t="str">
        <x:v>requires_escalated_management</x:v>
      </x:c>
    </x:row>
    <x:row r="70" ht="39.599998474121094" hidden="0" customHeight="1">
      <x:c r="A70" s="23" t="str">
        <x:v>Risk</x:v>
      </x:c>
      <x:c r="B70" s="20" t="str">
        <x:v>mediated_by</x:v>
      </x:c>
      <x:c r="C70" s="20" t="str">
        <x:v>经由</x:v>
      </x:c>
      <x:c r="D70" s="20" t="str">
        <x:v>["Etiology", "Symptom", "Disease"]</x:v>
      </x:c>
      <x:c r="E70" s="23" t="str">
        <x:v>低</x:v>
      </x:c>
      <x:c r="F70" s="23" t="str">
        <x:v>暂缓加入</x:v>
      </x:c>
      <x:c r="G70" s="20" t="str">
        <x:v>旧版同名关系：needs_medical_review（source/target 未定）</x:v>
      </x:c>
      <x:c r="H70" s="20" t="str">
        <x:v>旧版同名关系标记 needs_medical_review；“经由”语义过宽，可能由病因、症状或疾病介导，暂不宜作为稳定 relation。</x:v>
      </x:c>
      <x:c r="I70" s="23"/>
      <x:c r="J70" s="20"/>
    </x:row>
    <x:row r="71" ht="13.5" hidden="0" customHeight="1">
      <x:c r="A71" s="23" t="str">
        <x:v>Risk</x:v>
      </x:c>
      <x:c r="B71" s="20" t="str">
        <x:v>applies_to_patient</x:v>
      </x:c>
      <x:c r="C71" s="20" t="str">
        <x:v>适用于患者</x:v>
      </x:c>
      <x:c r="D71" s="20" t="str">
        <x:v>["Patient"]</x:v>
      </x:c>
      <x:c r="E71" s="23" t="str">
        <x:v>高</x:v>
      </x:c>
      <x:c r="F71" s="23" t="str">
        <x:v>可加入</x:v>
      </x:c>
      <x:c r="G71" s="20" t="str">
        <x:v>旧版未定义该 relation</x:v>
      </x:c>
      <x:c r="H71" s="20" t="str">
        <x:v>风险适用于/关联某患者或患者类型。</x:v>
      </x:c>
      <x:c r="I71" s="23"/>
      <x:c r="J71" s="20"/>
    </x:row>
    <x:row r="72" ht="39.599998474121094" hidden="0" customHeight="1">
      <x:c r="A72" s="23" t="str">
        <x:v>Communication</x:v>
      </x:c>
      <x:c r="B72" s="20" t="str">
        <x:v>recommended_for</x:v>
      </x:c>
      <x:c r="C72" s="20" t="str">
        <x:v>推荐用于</x:v>
      </x:c>
      <x:c r="D72" s="20" t="str">
        <x:v>["Disease", "Patient"]</x:v>
      </x:c>
      <x:c r="E72" s="23" t="str">
        <x:v>高</x:v>
      </x:c>
      <x:c r="F72" s="23" t="str">
        <x:v>需修正 Source 后加入</x:v>
      </x:c>
      <x:c r="G72" s="20" t="str">
        <x:v>旧版 active: source=['Communication Method']; target=['Disease', 'Patient Information']</x:v>
      </x:c>
      <x:c r="H72" s="20" t="str">
        <x:v>旧版 active 的 Communication Method→recommended_for→Disease/Patient Information 提供了直接依据；新版对应 Communication Strategy→Disease/Patient。</x:v>
      </x:c>
      <x:c r="I72" s="23" t="str">
        <x:v>Communication Strategy</x:v>
      </x:c>
      <x:c r="J72" s="20"/>
    </x:row>
    <x:row r="73" ht="26.399999618530273" hidden="0" customHeight="1">
      <x:c r="A73" s="23" t="str">
        <x:v>Communication</x:v>
      </x:c>
      <x:c r="B73" s="20" t="str">
        <x:v>avoid_with</x:v>
      </x:c>
      <x:c r="C73" s="20" t="str">
        <x:v>避免用于</x:v>
      </x:c>
      <x:c r="D73" s="20" t="str">
        <x:v>["Disease", "Patient"]</x:v>
      </x:c>
      <x:c r="E73" s="23" t="str">
        <x:v>中</x:v>
      </x:c>
      <x:c r="F73" s="23" t="str">
        <x:v>需修正 Source 并复核</x:v>
      </x:c>
      <x:c r="G73" s="20" t="str">
        <x:v>旧版同名关系：needs_medical_review（source/target 未定）</x:v>
      </x:c>
      <x:c r="H73" s="20" t="str">
        <x:v>旧版 avoid_with 标记 needs_medical_review；与 recommended_for 对称时，Disease/Patient 是较合理 Target，但仍需语料验证。</x:v>
      </x:c>
      <x:c r="I73" s="23" t="str">
        <x:v>Communication Strategy</x:v>
      </x:c>
      <x:c r="J73" s="20"/>
    </x:row>
    <x:row r="74" ht="26.399999618530273" hidden="0" customHeight="1">
      <x:c r="A74" s="23" t="str">
        <x:v>Communication</x:v>
      </x:c>
      <x:c r="B74" s="20" t="str">
        <x:v>applies_to_stage</x:v>
      </x:c>
      <x:c r="C74" s="20" t="str">
        <x:v>适用于阶段</x:v>
      </x:c>
      <x:c r="D74" s="20" t="str">
        <x:v>—</x:v>
      </x:c>
      <x:c r="E74" s="23" t="str">
        <x:v>高</x:v>
      </x:c>
      <x:c r="F74" s="23" t="str">
        <x:v>建议改为属性/不建边</x:v>
      </x:c>
      <x:c r="G74" s="20" t="str">
        <x:v>旧版未定义该 relation</x:v>
      </x:c>
      <x:c r="H74" s="20" t="str">
        <x:v>当前没有 Disease Stage/Stage 独立节点；更适合作为 Communication Strategy 的适用阶段属性，或后续新增 Stage 节点。</x:v>
      </x:c>
      <x:c r="I74" s="23" t="str">
        <x:v>Communication Strategy</x:v>
      </x:c>
      <x:c r="J74" s="20"/>
    </x:row>
    <x:row r="75" ht="26.399999618530273" hidden="0" customHeight="1">
      <x:c r="A75" s="23" t="str">
        <x:v>Communication</x:v>
      </x:c>
      <x:c r="B75" s="20" t="str">
        <x:v>requires_family_support</x:v>
      </x:c>
      <x:c r="C75" s="20" t="str">
        <x:v>需要家属参与</x:v>
      </x:c>
      <x:c r="D75" s="20" t="str">
        <x:v>—</x:v>
      </x:c>
      <x:c r="E75" s="23" t="str">
        <x:v>高</x:v>
      </x:c>
      <x:c r="F75" s="23" t="str">
        <x:v>建议改为属性/不建边</x:v>
      </x:c>
      <x:c r="G75" s="20" t="str">
        <x:v>旧版未定义该 relation</x:v>
      </x:c>
      <x:c r="H75" s="20" t="str">
        <x:v>当前没有 Family/Support 独立节点；可作为布尔/文本属性，除非后续专门建模家庭支持。</x:v>
      </x:c>
      <x:c r="I75" s="23" t="str">
        <x:v>Communication Strategy</x:v>
      </x:c>
      <x:c r="J75" s="20"/>
    </x:row>
    <x:row r="76" ht="39.599998474121094" hidden="0" customHeight="1">
      <x:c r="A76" s="23" t="str">
        <x:v>Guideline</x:v>
      </x:c>
      <x:c r="B76" s="20" t="str">
        <x:v>recommends</x:v>
      </x:c>
      <x:c r="C76" s="20" t="str">
        <x:v>推荐</x:v>
      </x:c>
      <x:c r="D76" s="20" t="str">
        <x:v>["Medication", "Treatment", "Treatment Plan", "Assessment", "Examination", "Assessment Scale", "Communication Strategy"]</x:v>
      </x:c>
      <x:c r="E76" s="23" t="str">
        <x:v>中</x:v>
      </x:c>
      <x:c r="F76" s="23" t="str">
        <x:v>需复核</x:v>
      </x:c>
      <x:c r="G76" s="20" t="str">
        <x:v>旧版未定义该 relation</x:v>
      </x:c>
      <x:c r="H76" s="20" t="str">
        <x:v>这是泛型推荐关系，Target 过宽；可暂保留，但生产 schema 更建议拆成 recommends_medication / recommends_treatment 等。</x:v>
      </x:c>
      <x:c r="I76" s="23"/>
      <x:c r="J76" s="20"/>
    </x:row>
    <x:row r="77" ht="13.5" hidden="0" customHeight="1">
      <x:c r="A77" s="23" t="str">
        <x:v>Guideline</x:v>
      </x:c>
      <x:c r="B77" s="20" t="str">
        <x:v>based_on_evidence</x:v>
      </x:c>
      <x:c r="C77" s="20" t="str">
        <x:v>基于证据</x:v>
      </x:c>
      <x:c r="D77" s="20" t="str">
        <x:v>["Evidence"]</x:v>
      </x:c>
      <x:c r="E77" s="23" t="str">
        <x:v>高</x:v>
      </x:c>
      <x:c r="F77" s="23" t="str">
        <x:v>可加入</x:v>
      </x:c>
      <x:c r="G77" s="20" t="str">
        <x:v>旧版未定义该 relation</x:v>
      </x:c>
      <x:c r="H77" s="20" t="str">
        <x:v>指南基于文献证据。</x:v>
      </x:c>
      <x:c r="I77" s="23"/>
      <x:c r="J77" s="20"/>
    </x:row>
    <x:row r="78" ht="13.5" hidden="0" customHeight="1">
      <x:c r="A78" s="23" t="str">
        <x:v>Guideline</x:v>
      </x:c>
      <x:c r="B78" s="20" t="str">
        <x:v>updated_from</x:v>
      </x:c>
      <x:c r="C78" s="20" t="str">
        <x:v>更新自</x:v>
      </x:c>
      <x:c r="D78" s="20" t="str">
        <x:v>["Guideline"]</x:v>
      </x:c>
      <x:c r="E78" s="23" t="str">
        <x:v>高</x:v>
      </x:c>
      <x:c r="F78" s="23" t="str">
        <x:v>可加入</x:v>
      </x:c>
      <x:c r="G78" s="20" t="str">
        <x:v>旧版未定义该 relation</x:v>
      </x:c>
      <x:c r="H78" s="20" t="str">
        <x:v>指南版本更新自另一指南版本。</x:v>
      </x:c>
      <x:c r="I78" s="23"/>
      <x:c r="J78" s="20"/>
    </x:row>
    <x:row r="79" ht="26.399999618530273" hidden="0" customHeight="1">
      <x:c r="A79" s="23" t="str">
        <x:v>Evidence</x:v>
      </x:c>
      <x:c r="B79" s="20" t="str">
        <x:v>recommended_by</x:v>
      </x:c>
      <x:c r="C79" s="20" t="str">
        <x:v>被指南引用</x:v>
      </x:c>
      <x:c r="D79" s="20" t="str">
        <x:v>["Guideline"]</x:v>
      </x:c>
      <x:c r="E79" s="23" t="str">
        <x:v>高</x:v>
      </x:c>
      <x:c r="F79" s="23" t="str">
        <x:v>可加入（建议重命名）</x:v>
      </x:c>
      <x:c r="G79" s="20" t="str">
        <x:v>旧版未定义该 relation</x:v>
      </x:c>
      <x:c r="H79" s="20" t="str">
        <x:v>中文为“被指南引用”，Target=Guideline 很明确；问题主要在 relation 命名，recommended_by 不准确。</x:v>
      </x:c>
      <x:c r="I79" s="23"/>
      <x:c r="J79" s="20" t="str">
        <x:v>cited_by / used_as_evidence_by</x:v>
      </x:c>
    </x:row>
    <x:row r="80" ht="26.399999618530273" hidden="0" customHeight="1">
      <x:c r="A80" s="23" t="str">
        <x:v>Evidence</x:v>
      </x:c>
      <x:c r="B80" s="20" t="str">
        <x:v>supported_by</x:v>
      </x:c>
      <x:c r="C80" s="20" t="str">
        <x:v>被证据支持</x:v>
      </x:c>
      <x:c r="D80" s="20" t="str">
        <x:v>["Evidence"]</x:v>
      </x:c>
      <x:c r="E80" s="23" t="str">
        <x:v>中</x:v>
      </x:c>
      <x:c r="F80" s="23" t="str">
        <x:v>需复核</x:v>
      </x:c>
      <x:c r="G80" s="20" t="str">
        <x:v>旧版未定义该 relation</x:v>
      </x:c>
      <x:c r="H80" s="20" t="str">
        <x:v>可表示研究/证据之间相互支持或复核；但关系语义较泛，需明确什么情况下建立此边。</x:v>
      </x:c>
      <x:c r="I80" s="23"/>
      <x:c r="J80" s="20"/>
    </x:row>
    <x:row r="81" ht="26.399999618530273" hidden="0" customHeight="1">
      <x:c r="A81" s="23" t="str">
        <x:v>Evidence</x:v>
      </x:c>
      <x:c r="B81" s="20" t="str">
        <x:v>derived_from</x:v>
      </x:c>
      <x:c r="C81" s="20" t="str">
        <x:v>来源于</x:v>
      </x:c>
      <x:c r="D81" s="20" t="str">
        <x:v>["Evidence"]</x:v>
      </x:c>
      <x:c r="E81" s="23" t="str">
        <x:v>中</x:v>
      </x:c>
      <x:c r="F81" s="23" t="str">
        <x:v>需复核</x:v>
      </x:c>
      <x:c r="G81" s="20" t="str">
        <x:v>旧版未定义该 relation</x:v>
      </x:c>
      <x:c r="H81" s="20" t="str">
        <x:v>当前无 Study 节点，只能将来源研究也建成 Evidence；若后续新增 Study，Target 应改为 Study。</x:v>
      </x:c>
      <x:c r="I81" s="23"/>
      <x:c r="J81" s="20"/>
    </x:row>
    <x:row r="82" ht="13.5" hidden="0" customHeight="1">
      <x:c r="A82" s="23" t="str">
        <x:v>Evidence</x:v>
      </x:c>
      <x:c r="B82" s="20" t="str">
        <x:v>cites</x:v>
      </x:c>
      <x:c r="C82" s="20" t="str">
        <x:v>引用</x:v>
      </x:c>
      <x:c r="D82" s="20" t="str">
        <x:v>["Evidence"]</x:v>
      </x:c>
      <x:c r="E82" s="23" t="str">
        <x:v>高</x:v>
      </x:c>
      <x:c r="F82" s="23" t="str">
        <x:v>可加入</x:v>
      </x:c>
      <x:c r="G82" s="20" t="str">
        <x:v>旧版未定义该 relation</x:v>
      </x:c>
      <x:c r="H82" s="20" t="str">
        <x:v>文献证据引用另一文献证据。</x:v>
      </x:c>
      <x:c r="I82" s="23"/>
      <x:c r="J82" s="20"/>
    </x:row>
    <x:row r="83" ht="13.5" hidden="0" customHeight="1">
      <x:c r="A83" s="23" t="str">
        <x:v>Evidence</x:v>
      </x:c>
      <x:c r="B83" s="20" t="str">
        <x:v>evidence_level</x:v>
      </x:c>
      <x:c r="C83" s="20" t="str">
        <x:v>证据等级</x:v>
      </x:c>
      <x:c r="D83" s="20" t="str">
        <x:v>—</x:v>
      </x:c>
      <x:c r="E83" s="23" t="str">
        <x:v>高</x:v>
      </x:c>
      <x:c r="F83" s="23" t="str">
        <x:v>建议改为属性/不建边</x:v>
      </x:c>
      <x:c r="G83" s="20" t="str">
        <x:v>旧版未定义该 relation</x:v>
      </x:c>
      <x:c r="H83" s="20" t="str">
        <x:v>新版 Evidence 已有 GRADE 属性，evidence_level 应作为属性而不是关系。</x:v>
      </x:c>
      <x:c r="I83" s="23"/>
      <x:c r="J83" s="20"/>
    </x:row>
  </x:sheetData>
  <x:conditionalFormatting sqref="E2:E83">
    <x:cfRule type="expression" dxfId="0" priority="1">
      <x:formula>E2="高"</x:formula>
    </x:cfRule>
    <x:cfRule type="expression" dxfId="1" priority="2">
      <x:formula>E2="中高"</x:formula>
    </x:cfRule>
    <x:cfRule type="expression" dxfId="2" priority="3">
      <x:formula>E2="中"</x:formula>
    </x:cfRule>
    <x:cfRule type="expression" dxfId="3" priority="4">
      <x:formula>E2="低"</x:formula>
    </x:cfRule>
  </x:conditionalFormatting>
  <x:conditionalFormatting sqref="F2:F83">
    <x:cfRule type="expression" dxfId="4" priority="5">
      <x:formula>F2="暂缓加入"</x:formula>
    </x:cfRule>
    <x:cfRule type="expression" dxfId="5" priority="6">
      <x:formula>F2="建议改为属性/不建边"</x:formula>
    </x:cfRule>
    <x:cfRule type="expression" dxfId="6" priority="7">
      <x:formula>ISNUMBER(SEARCH("需复核",F2))</x:formula>
    </x:cfRule>
    <x:cfRule type="expression" dxfId="7" priority="8">
      <x:formula>ISNUMBER(SEARCH("可加入",F2))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a672d5a98142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48" hidden="0" customWidth="1"/>
    <x:col min="4" max="4" width="58" hidden="0" customWidth="1"/>
  </x:cols>
  <x:sheetData>
    <x:row r="1" ht="30" customHeight="1">
      <x:c r="A1" s="46" t="str">
        <x:v>关系 Target 推断说明</x:v>
      </x:c>
      <x:c r="B1" s="46"/>
      <x:c r="C1" s="46"/>
      <x:c r="D1" s="46"/>
    </x:row>
    <x:row r="2">
      <x:c r="A2" s="47"/>
      <x:c r="B2" s="47"/>
      <x:c r="C2" s="47"/>
      <x:c r="D2" s="47"/>
    </x:row>
    <x:row r="3" ht="39.599998474121094" hidden="0" customHeight="1">
      <x:c r="A3" s="48" t="str">
        <x:v>推断原则</x:v>
      </x:c>
      <x:c r="B3" s="20" t="str">
        <x:v>以新版节点表为主；上一版 schema.json 仅作为历史 ontology 设计证据。旧版 active 定义可提升置信度，needs_medical_review 不视为已确认。</x:v>
      </x:c>
      <x:c r="C3" s="47"/>
      <x:c r="D3" s="47"/>
    </x:row>
    <x:row r="4" ht="26.399999618530273" hidden="0" customHeight="1">
      <x:c r="A4" s="48" t="str">
        <x:v>保留原则</x:v>
      </x:c>
      <x:c r="B4" s="20" t="str">
        <x:v>所有 82 条关系均保留。低置信度标记为“暂缓加入”，但不会从 Excel 中删除；是否加入新版 schema 由你后续决定。</x:v>
      </x:c>
      <x:c r="C4" s="47"/>
      <x:c r="D4" s="47"/>
    </x:row>
    <x:row r="5" ht="15" hidden="0" customHeight="1">
      <x:c r="A5" s="47"/>
      <x:c r="B5" s="47"/>
      <x:c r="C5" s="47"/>
      <x:c r="D5" s="47"/>
    </x:row>
    <x:row r="6" ht="15" hidden="0" customHeight="1">
      <x:c r="A6" s="49" t="str">
        <x:v>置信度</x:v>
      </x:c>
      <x:c r="B6" s="49" t="str">
        <x:v>含义</x:v>
      </x:c>
      <x:c r="C6" s="49" t="str">
        <x:v>建议</x:v>
      </x:c>
      <x:c r="D6" s="47"/>
    </x:row>
    <x:row r="7" ht="26.399999618530273" hidden="0" customHeight="1">
      <x:c r="A7" s="20" t="str">
        <x:v>高</x:v>
      </x:c>
      <x:c r="B7" s="20" t="str">
        <x:v>Target 有明确节点语义，或有旧版 active 关系直接/高度对应支持。</x:v>
      </x:c>
      <x:c r="C7" s="20" t="str">
        <x:v>通常可直接采用；若状态列提示重命名/修正 Source，则先做该修正。</x:v>
      </x:c>
      <x:c r="D7" s="47"/>
    </x:row>
    <x:row r="8" ht="15" hidden="0" customHeight="1">
      <x:c r="A8" s="20" t="str">
        <x:v>中高</x:v>
      </x:c>
      <x:c r="B8" s="20" t="str">
        <x:v>Target 较明确，但旧版曾未定或当前节点抽象存在轻微歧义。</x:v>
      </x:c>
      <x:c r="C8" s="20" t="str">
        <x:v>可作为候选加入，建议人工快速确认。</x:v>
      </x:c>
      <x:c r="D8" s="47"/>
    </x:row>
    <x:row r="9" ht="15" hidden="0" customHeight="1">
      <x:c r="A9" s="20" t="str">
        <x:v>中</x:v>
      </x:c>
      <x:c r="B9" s="20" t="str">
        <x:v>存在多种合理解释，或 Target 过宽/与属性有重叠。</x:v>
      </x:c>
      <x:c r="C9" s="20" t="str">
        <x:v>建议结合真实抽取语料再确认。</x:v>
      </x:c>
      <x:c r="D9" s="47"/>
    </x:row>
    <x:row r="10" ht="26.399999618530273" hidden="0" customHeight="1">
      <x:c r="A10" s="20" t="str">
        <x:v>低</x:v>
      </x:c>
      <x:c r="B10" s="20" t="str">
        <x:v>关系本身语义不稳定、旧版已标记待医学审核，或当前节点体系不足以承载。</x:v>
      </x:c>
      <x:c r="C10" s="20" t="str">
        <x:v>建议暂缓加入新版 schema。</x:v>
      </x:c>
      <x:c r="D10" s="47"/>
    </x:row>
    <x:row r="11" ht="15" hidden="0" customHeight="1">
      <x:c r="A11" s="47"/>
      <x:c r="B11" s="47"/>
      <x:c r="C11" s="47"/>
      <x:c r="D11" s="47"/>
    </x:row>
    <x:row r="12" ht="15" hidden="0" customHeight="1">
      <x:c r="A12" s="49" t="str">
        <x:v>统计项</x:v>
      </x:c>
      <x:c r="B12" s="49" t="str">
        <x:v>数量</x:v>
      </x:c>
      <x:c r="C12" s="47"/>
      <x:c r="D12" s="47"/>
    </x:row>
    <x:row r="13" ht="15" hidden="0" customHeight="1">
      <x:c r="A13" s="47" t="str">
        <x:v>高置信度</x:v>
      </x:c>
      <x:c r="B13" s="47" t="n">
        <x:f>COUNTIF('关系表new'!$E$2:$E$83,"高")</x:f>
        <x:v>58</x:v>
      </x:c>
      <x:c r="C13" s="47"/>
      <x:c r="D13" s="47"/>
    </x:row>
    <x:row r="14" ht="15" hidden="0" customHeight="1">
      <x:c r="A14" s="47" t="str">
        <x:v>中高置信度</x:v>
      </x:c>
      <x:c r="B14" s="47" t="n">
        <x:f>COUNTIF('关系表new'!$E$2:$E$83,"中高")</x:f>
        <x:v>3</x:v>
      </x:c>
      <x:c r="C14" s="47"/>
      <x:c r="D14" s="47"/>
    </x:row>
    <x:row r="15" ht="15" hidden="0" customHeight="1">
      <x:c r="A15" s="47" t="str">
        <x:v>中置信度</x:v>
      </x:c>
      <x:c r="B15" s="47" t="n">
        <x:f>COUNTIF('关系表new'!$E$2:$E$83,"中")</x:f>
        <x:v>16</x:v>
      </x:c>
      <x:c r="C15" s="47"/>
      <x:c r="D15" s="47"/>
    </x:row>
    <x:row r="16" ht="15" hidden="0" customHeight="1">
      <x:c r="A16" s="47" t="str">
        <x:v>低置信度</x:v>
      </x:c>
      <x:c r="B16" s="47" t="n">
        <x:f>COUNTIF('关系表new'!$E$2:$E$83,"低")</x:f>
        <x:v>5</x:v>
      </x:c>
      <x:c r="C16" s="47"/>
      <x:c r="D16" s="47"/>
    </x:row>
    <x:row r="17" ht="15" hidden="0" customHeight="1">
      <x:c r="A17" s="47" t="str">
        <x:v>暂缓加入</x:v>
      </x:c>
      <x:c r="B17" s="47" t="n">
        <x:f>COUNTIF('关系表new'!$F$2:$F$83,"暂缓加入")</x:f>
        <x:v>5</x:v>
      </x:c>
      <x:c r="C17" s="47"/>
      <x:c r="D17" s="47"/>
    </x:row>
    <x:row r="18" ht="15" hidden="0" customHeight="1">
      <x:c r="A18" s="47" t="str">
        <x:v>建议改为属性/不建边</x:v>
      </x:c>
      <x:c r="B18" s="47" t="n">
        <x:f>COUNTIF('关系表new'!$F$2:$F$83,"建议改为属性/不建边")</x:f>
        <x:v>4</x:v>
      </x:c>
      <x:c r="C18" s="47"/>
      <x:c r="D18" s="47"/>
    </x:row>
    <x:row r="19" ht="15" hidden="0" customHeight="1">
      <x:c r="A19" s="47"/>
      <x:c r="B19" s="47"/>
      <x:c r="C19" s="47"/>
      <x:c r="D19" s="47"/>
    </x:row>
    <x:row r="20" ht="15" hidden="0" customHeight="1">
      <x:c r="A20" s="49" t="str">
        <x:v>关键修正</x:v>
      </x:c>
      <x:c r="B20" s="49" t="str">
        <x:v>旧判断/问题</x:v>
      </x:c>
      <x:c r="C20" s="49" t="str">
        <x:v>本版判断</x:v>
      </x:c>
      <x:c r="D20" s="49" t="str">
        <x:v>依据</x:v>
      </x:c>
    </x:row>
    <x:row r="21" ht="15" hidden="0" customHeight="1">
      <x:c r="A21" s="20" t="str">
        <x:v>Diagnostic Criterion.co_occurs_with</x:v>
      </x:c>
      <x:c r="B21" s="20" t="str">
        <x:v>Source 不合理</x:v>
      </x:c>
      <x:c r="C21" s="20" t="str">
        <x:v>Disease → Disease</x:v>
      </x:c>
      <x:c r="D21" s="20" t="str">
        <x:v>旧版 co_occurs_with_frequency 为 active Disease→Disease</x:v>
      </x:c>
    </x:row>
    <x:row r="22" ht="15" hidden="0" customHeight="1">
      <x:c r="A22" s="20" t="str">
        <x:v>Disease.associated_with_poor_prognosis</x:v>
      </x:c>
      <x:c r="B22" s="20" t="str">
        <x:v>曾考虑不建边</x:v>
      </x:c>
      <x:c r="C22" s="20" t="str">
        <x:v>Target = Disease</x:v>
      </x:c>
      <x:c r="D22" s="20" t="str">
        <x:v>旧版 associated_with_poor_prognosis_in 为 active，Target=Disease</x:v>
      </x:c>
    </x:row>
    <x:row r="23" ht="15" hidden="0" customHeight="1">
      <x:c r="A23" s="20" t="str">
        <x:v>Assessment.assesses_for</x:v>
      </x:c>
      <x:c r="B23" s="20" t="str">
        <x:v>Disease / Risk</x:v>
      </x:c>
      <x:c r="C23" s="20" t="str">
        <x:v>Disease / Symptom / Risk</x:v>
      </x:c>
      <x:c r="D23" s="20" t="str">
        <x:v>旧版 assesses_for 为 active，Target 含 Disease、Symptom</x:v>
      </x:c>
    </x:row>
    <x:row r="24" ht="15" hidden="0" customHeight="1">
      <x:c r="A24" s="20" t="str">
        <x:v>Communication.recommended_for</x:v>
      </x:c>
      <x:c r="B24" s="20" t="str">
        <x:v>Patient / Risk</x:v>
      </x:c>
      <x:c r="C24" s="20" t="str">
        <x:v>Disease / Patient</x:v>
      </x:c>
      <x:c r="D24" s="20" t="str">
        <x:v>旧版 Communication Method.recommended_for 为 active</x:v>
      </x:c>
    </x:row>
    <x:row r="25" ht="15" hidden="0" customHeight="1">
      <x:c r="A25" s="20" t="str">
        <x:v>Risk.triggers_alert_when</x:v>
      </x:c>
      <x:c r="B25" s="20" t="str">
        <x:v>曾考虑条件属性</x:v>
      </x:c>
      <x:c r="C25" s="20" t="str">
        <x:v>Disease / Symptom</x:v>
      </x:c>
      <x:c r="D25" s="20" t="str">
        <x:v>旧版 active 明确 Target= Disease、Symptom</x:v>
      </x:c>
    </x:row>
    <x:row r="26" ht="15" hidden="0" customHeight="1">
      <x:c r="A26" s="20" t="str">
        <x:v>Evidence.recommended_by</x:v>
      </x:c>
      <x:c r="B26" s="20" t="str">
        <x:v>Target 低置信</x:v>
      </x:c>
      <x:c r="C26" s="20" t="str">
        <x:v>Target=Guideline 高置信；建议改 relation 名</x:v>
      </x:c>
      <x:c r="D26" s="20" t="str">
        <x:v>中文“被指南引用”支持 cited_by / used_as_evidence_by</x:v>
      </x:c>
    </x:row>
  </x:sheetData>
  <x:mergeCells>
    <x:mergeCell ref="A1:D1"/>
  </x:mergeCells>
  <x:pageMargins left="0.7" right="0.7" top="0.75" bottom="0.75" header="0.3" footer="0.3"/>
</x:worksheet>
</file>